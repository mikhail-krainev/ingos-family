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итул" sheetId="1" state="visible" r:id="rId3"/>
    <sheet name="Допущения" sheetId="2" state="visible" r:id="rId4"/>
    <sheet name="Льготы ветеранам" sheetId="3" state="visible" r:id="rId5"/>
    <sheet name="Время координатора" sheetId="4" state="visible" r:id="rId6"/>
    <sheet name="Бюджет MVP" sheetId="5" state="visible" r:id="rId7"/>
    <sheet name="Сводка" sheetId="6" state="visible" r:id="rId8"/>
    <sheet name="Юнит-экономика" sheetId="7" state="visible" r:id="rId9"/>
    <sheet name="Рынок" sheetId="8" state="visible" r:id="rId10"/>
    <sheet name="Пессимистичный" sheetId="9" state="visible" r:id="rId11"/>
    <sheet name="Базовый" sheetId="10" state="visible" r:id="rId12"/>
    <sheet name="Оптимистичный" sheetId="11" state="visible" r:id="rId13"/>
    <sheet name="Версия 1" sheetId="12" state="visible" r:id="rId14"/>
    <sheet name="Чувствительность" sheetId="13" state="visible" r:id="rId15"/>
    <sheet name="Монте-Карло" sheetId="14" state="visible" r:id="rId16"/>
    <sheet name="Риски модели" sheetId="15" state="visible" r:id="rId17"/>
  </sheets>
  <definedNames>
    <definedName function="false" hidden="false" localSheetId="9" name="_xlnm.Print_Titles" vbProcedure="false">Базовый!$5:$5</definedName>
    <definedName function="false" hidden="false" localSheetId="11" name="_xlnm.Print_Titles" vbProcedure="false">'Версия 1'!$5:$5</definedName>
    <definedName function="false" hidden="false" localSheetId="10" name="_xlnm.Print_Titles" vbProcedure="false">Оптимистичный!$5:$5</definedName>
    <definedName function="false" hidden="false" localSheetId="8" name="_xlnm.Print_Titles" vbProcedure="false">Пессимистичный!$5:$5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<sst xmlns="http://schemas.openxmlformats.org/spreadsheetml/2006/main" count="1263" uniqueCount="565">
  <si>
    <t xml:space="preserve">Финансовая модель продукта «ИНГОССЕМЬЯ»</t>
  </si>
  <si>
    <t xml:space="preserve">Кейс IngoSight 2026. Все суммы в рублях; выручка и затраты без НДС, если не указано иное.</t>
  </si>
  <si>
    <t xml:space="preserve">Лист</t>
  </si>
  <si>
    <t xml:space="preserve">Содержание</t>
  </si>
  <si>
    <t xml:space="preserve">Допущения</t>
  </si>
  <si>
    <t xml:space="preserve">Все исходные параметры по четырем сценариям, расчетные параметры, команда, инвестиции</t>
  </si>
  <si>
    <t xml:space="preserve">Льготы ветеранам</t>
  </si>
  <si>
    <t xml:space="preserve">Особые условия для ветеранов СВО и ветеранов: скидки, неценовые условия, стоимость программы</t>
  </si>
  <si>
    <t xml:space="preserve">Время координатора</t>
  </si>
  <si>
    <t xml:space="preserve">Бюджет минут координатора на семью и итог по тарифам</t>
  </si>
  <si>
    <t xml:space="preserve">Бюджет MVP</t>
  </si>
  <si>
    <t xml:space="preserve">Смета MVP на 3 месяца, проверка лимита 5 млн руб., итоги по категориям</t>
  </si>
  <si>
    <t xml:space="preserve">Сводка</t>
  </si>
  <si>
    <t xml:space="preserve">NPV, окупаемость, пиковая потребность, выручка и результат по годам для всех сценариев</t>
  </si>
  <si>
    <t xml:space="preserve">Юнит-экономика</t>
  </si>
  <si>
    <t xml:space="preserve">Маржинальный доход, LTV, CAC и окупаемость CAC на одну семью</t>
  </si>
  <si>
    <t xml:space="preserve">Рынок</t>
  </si>
  <si>
    <t xml:space="preserve">TAM, SAM и SOM</t>
  </si>
  <si>
    <t xml:space="preserve">Пессимистичный</t>
  </si>
  <si>
    <t xml:space="preserve">Помесячный расчет на 60 месяцев и налог по годам</t>
  </si>
  <si>
    <t xml:space="preserve">Базовый</t>
  </si>
  <si>
    <t xml:space="preserve">Оптимистичный</t>
  </si>
  <si>
    <t xml:space="preserve">Версия 1</t>
  </si>
  <si>
    <t xml:space="preserve">Первая версия продукта без голосового робота: показывает, почему продукт пересобран</t>
  </si>
  <si>
    <t xml:space="preserve">Чувствительность</t>
  </si>
  <si>
    <t xml:space="preserve">Влияние изменения параметров на ±25% на NPV</t>
  </si>
  <si>
    <t xml:space="preserve">Монте-Карло</t>
  </si>
  <si>
    <t xml:space="preserve">5000 прогонов модели со случайными параметрами</t>
  </si>
  <si>
    <t xml:space="preserve">Риски модели</t>
  </si>
  <si>
    <t xml:space="preserve">Подводные камни и как они учтены</t>
  </si>
  <si>
    <t xml:space="preserve">Обозначения</t>
  </si>
  <si>
    <t xml:space="preserve">Синий шрифт: исходные данные и допущения, их можно менять</t>
  </si>
  <si>
    <t xml:space="preserve">Черный шрифт: формулы</t>
  </si>
  <si>
    <t xml:space="preserve">Зеленый шрифт: ссылка на другой лист</t>
  </si>
  <si>
    <t xml:space="preserve">Отрицательные значения показаны в скобках, нулевые прочерком</t>
  </si>
  <si>
    <t xml:space="preserve">Метки у чисел: факт (из источника), расчет (на основе фактов), допущение (команды)</t>
  </si>
  <si>
    <t xml:space="preserve">Исходные данные и допущения модели</t>
  </si>
  <si>
    <t xml:space="preserve">Синий шрифт: исходное значение, его можно менять. Черный шрифт: формула. Столбцы сценариев без собственного значения ссылаются на базовый сценарий.</t>
  </si>
  <si>
    <t xml:space="preserve">Параметр</t>
  </si>
  <si>
    <t xml:space="preserve">Единица</t>
  </si>
  <si>
    <t xml:space="preserve">Пессими-стичный</t>
  </si>
  <si>
    <t xml:space="preserve">Оптими-стичный</t>
  </si>
  <si>
    <t xml:space="preserve">Версия 1 без триажа</t>
  </si>
  <si>
    <t xml:space="preserve">Метка</t>
  </si>
  <si>
    <t xml:space="preserve">Источник или обоснование</t>
  </si>
  <si>
    <t xml:space="preserve">1. Общие параметры</t>
  </si>
  <si>
    <t xml:space="preserve">НДС</t>
  </si>
  <si>
    <t xml:space="preserve">доля</t>
  </si>
  <si>
    <t xml:space="preserve">факт</t>
  </si>
  <si>
    <t xml:space="preserve">НДС 22% с 01.01.2026, НК РФ ст. 164</t>
  </si>
  <si>
    <t xml:space="preserve">Налог на прибыль</t>
  </si>
  <si>
    <t xml:space="preserve">Налог на прибыль 25% с 2025, НК РФ ст. 284</t>
  </si>
  <si>
    <t xml:space="preserve">Лимит переноса убытков от налоговой базы года</t>
  </si>
  <si>
    <t xml:space="preserve">Перенос убытков не более 50% базы в год, НК РФ ст. 283</t>
  </si>
  <si>
    <t xml:space="preserve">Коэффициент страховых взносов к ФОТ</t>
  </si>
  <si>
    <t xml:space="preserve">коэф.</t>
  </si>
  <si>
    <t xml:space="preserve">допущение</t>
  </si>
  <si>
    <t xml:space="preserve">Страховые взносы 30% + 0,2% травматизм, без учета снижения выше предельной базы</t>
  </si>
  <si>
    <t xml:space="preserve">Ставка дисконтирования, годовая</t>
  </si>
  <si>
    <t xml:space="preserve">Ставка дисконтирования для венчурного проекта внутри страховщика</t>
  </si>
  <si>
    <t xml:space="preserve">Индексация зарплат в год</t>
  </si>
  <si>
    <t xml:space="preserve">Индексация цен подписки в год, со 2-го года</t>
  </si>
  <si>
    <t xml:space="preserve">Индексация цен подписки со 2-го года</t>
  </si>
  <si>
    <t xml:space="preserve">Эквайринг от суммы оплаты</t>
  </si>
  <si>
    <t xml:space="preserve">Эквайринг 1,8% от оплаты</t>
  </si>
  <si>
    <t xml:space="preserve">Накладные расходы от ФОТ</t>
  </si>
  <si>
    <t xml:space="preserve">Накладные (офис, HR, бухгалтерия) 10% от ФОТ</t>
  </si>
  <si>
    <t xml:space="preserve">Рабочих часов координатора в месяц</t>
  </si>
  <si>
    <t xml:space="preserve">ч</t>
  </si>
  <si>
    <t xml:space="preserve">Производственный календарь</t>
  </si>
  <si>
    <t xml:space="preserve">Доля времени на работу с семьями</t>
  </si>
  <si>
    <t xml:space="preserve">Остальное: обучение, планерки, документы</t>
  </si>
  <si>
    <t xml:space="preserve">Множитель покрытия смен</t>
  </si>
  <si>
    <t xml:space="preserve">Отпуска, больничные и смены 8-22 без выходных</t>
  </si>
  <si>
    <t xml:space="preserve">Минимальное число координаторов</t>
  </si>
  <si>
    <t xml:space="preserve">чел.</t>
  </si>
  <si>
    <t xml:space="preserve">Команда MVP</t>
  </si>
  <si>
    <t xml:space="preserve">Длительность MVP</t>
  </si>
  <si>
    <t xml:space="preserve">мес.</t>
  </si>
  <si>
    <t xml:space="preserve">условие кейса</t>
  </si>
  <si>
    <t xml:space="preserve">Первый MVP за 3 месяца</t>
  </si>
  <si>
    <t xml:space="preserve">Лимит бюджета MVP</t>
  </si>
  <si>
    <t xml:space="preserve">руб.</t>
  </si>
  <si>
    <t xml:space="preserve">Не более 5 млн руб.</t>
  </si>
  <si>
    <t xml:space="preserve">Резерв на непредвиденные расходы MVP</t>
  </si>
  <si>
    <t xml:space="preserve">Резерв на непредвиденные расходы</t>
  </si>
  <si>
    <t xml:space="preserve">2. Параметры сценариев</t>
  </si>
  <si>
    <t xml:space="preserve">Цена тарифа «Базовый» с НДС</t>
  </si>
  <si>
    <t xml:space="preserve">руб./мес.</t>
  </si>
  <si>
    <t xml:space="preserve">Базовый: робот каждый день, координатор раз в месяц и по флагу; руб в месяц с НДС</t>
  </si>
  <si>
    <t xml:space="preserve">Цена тарифа «Расширенный» с НДС</t>
  </si>
  <si>
    <t xml:space="preserve">Расширенный: координатор каждую неделю; руб в месяц с НДС</t>
  </si>
  <si>
    <t xml:space="preserve">Доля тарифа «Расширенный» в B2C</t>
  </si>
  <si>
    <t xml:space="preserve">Доля Расширенного тарифа</t>
  </si>
  <si>
    <t xml:space="preserve">Покупки услуг партнеров через координатора</t>
  </si>
  <si>
    <t xml:space="preserve">руб./семью в мес.</t>
  </si>
  <si>
    <t xml:space="preserve">Услуги партнеров через координатора, руб на семью в месяц</t>
  </si>
  <si>
    <t xml:space="preserve">Агентская комиссия с услуг партнеров</t>
  </si>
  <si>
    <t xml:space="preserve">Агентская комиссия сервисной компании с услуг партнеров</t>
  </si>
  <si>
    <t xml:space="preserve">Цена опции к корпоративному ДМС с НДС</t>
  </si>
  <si>
    <t xml:space="preserve">Опция к корпоративному ДМС, руб в месяц за активную семью, Базовый уровень</t>
  </si>
  <si>
    <t xml:space="preserve">CAC во внутренних каналах</t>
  </si>
  <si>
    <t xml:space="preserve">CAC во внутренних каналах: IngoMobile, рассылки клиентам ДМС, агенты</t>
  </si>
  <si>
    <t xml:space="preserve">Емкость внутренних каналов</t>
  </si>
  <si>
    <t xml:space="preserve">семей/мес.</t>
  </si>
  <si>
    <t xml:space="preserve">Сколько новых семей в месяц могут дать внутренние каналы</t>
  </si>
  <si>
    <t xml:space="preserve">CAC во внешних каналах</t>
  </si>
  <si>
    <t xml:space="preserve">CAC во внешних каналах: клик 50-100 руб., конверсия в оплату 1-2%</t>
  </si>
  <si>
    <t xml:space="preserve">Маркетинговый бюджет в 4-м месяце</t>
  </si>
  <si>
    <t xml:space="preserve">Маркетинг в 4-м месяце, руб</t>
  </si>
  <si>
    <t xml:space="preserve">Рост маркетингового бюджета в месяц</t>
  </si>
  <si>
    <t xml:space="preserve">Рост маркетингового бюджета в месяц до потолка</t>
  </si>
  <si>
    <t xml:space="preserve">Потолок маркетингового бюджета</t>
  </si>
  <si>
    <t xml:space="preserve">Потолок маркетинга в месяц</t>
  </si>
  <si>
    <t xml:space="preserve">Месяц запуска партнерского канала с фондом «Защитники Отечества»</t>
  </si>
  <si>
    <t xml:space="preserve">месяц</t>
  </si>
  <si>
    <t xml:space="preserve">Начало партнерского канала с фондом «Защитники Отечества» после пилота в MVP</t>
  </si>
  <si>
    <t xml:space="preserve">Новых семей в месяц через партнерский канал фонда</t>
  </si>
  <si>
    <t xml:space="preserve">Новых семей в месяц по рекомендациям социальных координаторов фонда и ветеранских организаций</t>
  </si>
  <si>
    <t xml:space="preserve">Затраты на привлечение в партнерском канале</t>
  </si>
  <si>
    <t xml:space="preserve">Затраты на привлечение в партнерском канале: материалы и обучение координаторов фонда</t>
  </si>
  <si>
    <t xml:space="preserve">Месяц первого корпоративного клиента</t>
  </si>
  <si>
    <t xml:space="preserve">Первый корпоративный клиент; переговоры с месяца 3</t>
  </si>
  <si>
    <t xml:space="preserve">Новых корпоративных клиентов в месяц</t>
  </si>
  <si>
    <t xml:space="preserve">клиентов</t>
  </si>
  <si>
    <t xml:space="preserve">Сотрудников у корпоративного клиента</t>
  </si>
  <si>
    <t xml:space="preserve">Доля сотрудников, подключивших родителя</t>
  </si>
  <si>
    <t xml:space="preserve">Доля сотрудников, которые подключают родителя</t>
  </si>
  <si>
    <t xml:space="preserve">Срок разгона активации у клиента</t>
  </si>
  <si>
    <t xml:space="preserve">Месяцев до полной активации внутри клиента</t>
  </si>
  <si>
    <t xml:space="preserve">Отток после первого месяца</t>
  </si>
  <si>
    <t xml:space="preserve">Отток после первого месяца, порог H5</t>
  </si>
  <si>
    <t xml:space="preserve">Отток B2C в месяц со второго месяца</t>
  </si>
  <si>
    <t xml:space="preserve">Отток B2B2C в месяц</t>
  </si>
  <si>
    <t xml:space="preserve">Множитель к бюджету минут координатора</t>
  </si>
  <si>
    <t xml:space="preserve">Множитель к бюджету минут (сценарии)</t>
  </si>
  <si>
    <t xml:space="preserve">Зарплата координатора</t>
  </si>
  <si>
    <t xml:space="preserve">Зарплата координатора в региональном контакт-центре, руб</t>
  </si>
  <si>
    <t xml:space="preserve">Координаторов на одного супервизора</t>
  </si>
  <si>
    <t xml:space="preserve">Зарплата супервизора</t>
  </si>
  <si>
    <t xml:space="preserve">Текучесть координаторов в год</t>
  </si>
  <si>
    <t xml:space="preserve">Стоимость обучения нового координатора</t>
  </si>
  <si>
    <t xml:space="preserve">расчет</t>
  </si>
  <si>
    <t xml:space="preserve">Курс 35 тыс. + полмесяца зарплаты на обучение</t>
  </si>
  <si>
    <t xml:space="preserve">CRM и телефония на рабочее место</t>
  </si>
  <si>
    <t xml:space="preserve">CRM и телефония на рабочее место в месяц</t>
  </si>
  <si>
    <t xml:space="preserve">Телемедицина на семью</t>
  </si>
  <si>
    <t xml:space="preserve">0,25 консультации x 800 руб</t>
  </si>
  <si>
    <t xml:space="preserve">Связь на семью (робот, звонки, СМС)</t>
  </si>
  <si>
    <t xml:space="preserve">Робот 30 мин + координатор до 30 мин + 10 СМС</t>
  </si>
  <si>
    <t xml:space="preserve">Размещение в контуре ИСПДн группы</t>
  </si>
  <si>
    <t xml:space="preserve">Размещение в контуре ИСПДн группы после MVP, в месяц</t>
  </si>
  <si>
    <t xml:space="preserve">Доплата за размещение на 1000 семей</t>
  </si>
  <si>
    <t xml:space="preserve">Доплата за каждую 1000 семей</t>
  </si>
  <si>
    <t xml:space="preserve">Сопровождение сервисной компании</t>
  </si>
  <si>
    <t xml:space="preserve">Сопровождение договоров и отчетности сервисной компании, в месяц</t>
  </si>
  <si>
    <t xml:space="preserve">Доля семей, покупающих ДМС или полис ухода в месяц</t>
  </si>
  <si>
    <t xml:space="preserve">Доля активных семей, покупающих ДМС родителю или полис ухода в месяц</t>
  </si>
  <si>
    <t xml:space="preserve">Маржинальный доход группы с кросс-продажи</t>
  </si>
  <si>
    <t xml:space="preserve">Маржинальный доход страховщика с одной кросс-продажи</t>
  </si>
  <si>
    <t xml:space="preserve">Доля платящих семей в MVP</t>
  </si>
  <si>
    <t xml:space="preserve">Доля платящих в MVP, остальные на пробном периоде</t>
  </si>
  <si>
    <t xml:space="preserve">3. Нагрузка координатора в версии 1 (без голосового робота)</t>
  </si>
  <si>
    <t xml:space="preserve">Фиксированная нагрузка, семей «Базовый»</t>
  </si>
  <si>
    <t xml:space="preserve">семей</t>
  </si>
  <si>
    <t xml:space="preserve">Координатор звонит каждой семье раз в неделю; в сценариях 1-3 нагрузка считается от минут</t>
  </si>
  <si>
    <t xml:space="preserve">Вес семьи «Расширенный» к «Базовому»</t>
  </si>
  <si>
    <t xml:space="preserve">4. Расчетные параметры</t>
  </si>
  <si>
    <t xml:space="preserve">Минут координатора на семью «Базовый» с множителем</t>
  </si>
  <si>
    <t xml:space="preserve">мин./мес.</t>
  </si>
  <si>
    <t xml:space="preserve">Лист «Время координатора»</t>
  </si>
  <si>
    <t xml:space="preserve">Минут координатора на семью «Расширенный» с множителем</t>
  </si>
  <si>
    <t xml:space="preserve">Продуктивных минут координатора с учетом покрытия смен</t>
  </si>
  <si>
    <t xml:space="preserve">Часы x 60 x доля / множитель покрытия</t>
  </si>
  <si>
    <t xml:space="preserve">Семей «Базовый» на координатора</t>
  </si>
  <si>
    <t xml:space="preserve">Емкость / минуты на семью</t>
  </si>
  <si>
    <t xml:space="preserve">Семей «Расширенный» на координатора</t>
  </si>
  <si>
    <t xml:space="preserve">Средний чек B2C с НДС по прейскуранту, 1-й год</t>
  </si>
  <si>
    <t xml:space="preserve">Взвешенная цена тарифов</t>
  </si>
  <si>
    <t xml:space="preserve">Средний чек B2C с НДС с учетом льгот ветеранам, 1-й год</t>
  </si>
  <si>
    <t xml:space="preserve">Лист «Льготы ветеранам»</t>
  </si>
  <si>
    <t xml:space="preserve">Недополученная выручка на 1 руб. оплаченной подписки</t>
  </si>
  <si>
    <t xml:space="preserve">Скидка / (1 - скидка)</t>
  </si>
  <si>
    <t xml:space="preserve">Семей B2B2C от клиентов одного месяца</t>
  </si>
  <si>
    <t xml:space="preserve">Клиенты x сотрудники x активация</t>
  </si>
  <si>
    <t xml:space="preserve">Ставка дисконтирования, месячная</t>
  </si>
  <si>
    <t xml:space="preserve">Эквивалент годовой ставки</t>
  </si>
  <si>
    <t xml:space="preserve">5. Семьи в MVP</t>
  </si>
  <si>
    <t xml:space="preserve">Месяц MVP</t>
  </si>
  <si>
    <t xml:space="preserve">Семей</t>
  </si>
  <si>
    <t xml:space="preserve">6. Постоянная команда после MVP</t>
  </si>
  <si>
    <t xml:space="preserve">Роль</t>
  </si>
  <si>
    <t xml:space="preserve">Ставка, FTE</t>
  </si>
  <si>
    <t xml:space="preserve">Зарплата, руб./мес.</t>
  </si>
  <si>
    <t xml:space="preserve">Месяц выхода</t>
  </si>
  <si>
    <t xml:space="preserve">Комментарий</t>
  </si>
  <si>
    <t xml:space="preserve">Руководитель продукта</t>
  </si>
  <si>
    <t xml:space="preserve">Разработчик 1</t>
  </si>
  <si>
    <t xml:space="preserve">Разработчик 2</t>
  </si>
  <si>
    <t xml:space="preserve">Второй разработчик под интеграции</t>
  </si>
  <si>
    <t xml:space="preserve">Аналитик</t>
  </si>
  <si>
    <t xml:space="preserve">Врач-методист</t>
  </si>
  <si>
    <t xml:space="preserve">Дизайнер</t>
  </si>
  <si>
    <t xml:space="preserve">Маркетолог</t>
  </si>
  <si>
    <t xml:space="preserve">Менеджер B2B</t>
  </si>
  <si>
    <t xml:space="preserve">7. Инвестиции после MVP</t>
  </si>
  <si>
    <t xml:space="preserve">Назначение</t>
  </si>
  <si>
    <t xml:space="preserve">Месяц</t>
  </si>
  <si>
    <t xml:space="preserve">Сумма, руб.</t>
  </si>
  <si>
    <t xml:space="preserve">Интеграция в IngoMobile</t>
  </si>
  <si>
    <t xml:space="preserve">Интеграция с клиниками через МедРокет</t>
  </si>
  <si>
    <t xml:space="preserve">ИИ-черновики отчетов и доработка робота</t>
  </si>
  <si>
    <t xml:space="preserve">Итого</t>
  </si>
  <si>
    <t xml:space="preserve">Особые условия для ветеранов СВО и ветеранов</t>
  </si>
  <si>
    <t xml:space="preserve">Льгота действует на подписку B2C. Скидка уменьшает выручку во всех сценариях; ее сумма показана на листе «Сводка».</t>
  </si>
  <si>
    <t xml:space="preserve">Категория</t>
  </si>
  <si>
    <t xml:space="preserve">Доля семей B2C</t>
  </si>
  <si>
    <t xml:space="preserve">Скидка с подписки</t>
  </si>
  <si>
    <t xml:space="preserve">Вклад в среднюю скидку</t>
  </si>
  <si>
    <t xml:space="preserve">Условие и обоснование</t>
  </si>
  <si>
    <t xml:space="preserve">Родители погибших участников СВО</t>
  </si>
  <si>
    <t xml:space="preserve">Подписка «Базовый» бесплатно: у родителя нет ребенка, который организовал бы помощь [допущение]</t>
  </si>
  <si>
    <t xml:space="preserve">Участники СВО на службе (оплачивают сервис для родителя)</t>
  </si>
  <si>
    <t xml:space="preserve">На время службы и 6 месяцев после возвращения: сами не могут звонить и ездить к родителю [допущение]</t>
  </si>
  <si>
    <t xml:space="preserve">Ветераны боевых действий, включая ветеранов СВО, и инвалиды войны</t>
  </si>
  <si>
    <t xml:space="preserve">Плательщик или родитель со статусом по 5-ФЗ «О ветеранах» (с изменениями 83-ФЗ от 21.04.2025) [допущение]</t>
  </si>
  <si>
    <t xml:space="preserve">Ветераны ВОВ и ветераны труда (родитель)</t>
  </si>
  <si>
    <t xml:space="preserve">Родитель 70+ со статусом ветерана; доля уточняется анкетой [допущение]</t>
  </si>
  <si>
    <t xml:space="preserve">Итого: доля семей с льготой и средняя скидка</t>
  </si>
  <si>
    <t xml:space="preserve">Средняя скидка применяется к чеку B2C во всех сценариях</t>
  </si>
  <si>
    <t xml:space="preserve">Минут координатора в месяц на семью с льготой</t>
  </si>
  <si>
    <t xml:space="preserve">Минут координатора в месяц на семью с льготой: внеочередная запись, льготные лекарства, санаторий [допущение]</t>
  </si>
  <si>
    <t xml:space="preserve">Неценовые условия</t>
  </si>
  <si>
    <t xml:space="preserve">Условие</t>
  </si>
  <si>
    <t xml:space="preserve">Цена</t>
  </si>
  <si>
    <t xml:space="preserve">Скидки по категориям из таблицы выше; для родителей погибших участников СВО тариф «Базовый» бесплатно</t>
  </si>
  <si>
    <t xml:space="preserve">Навигатор льгот</t>
  </si>
  <si>
    <t xml:space="preserve">Координатор помогает получить положенное по закону: внеочередную медпомощь, льготные лекарства, санаторно-курортное лечение, меры региональной поддержки</t>
  </si>
  <si>
    <t xml:space="preserve">Приоритет</t>
  </si>
  <si>
    <t xml:space="preserve">Отдельная линия координаторов, прошедших курс по льготам ветеранов и работе с семьями участников СВО</t>
  </si>
  <si>
    <t xml:space="preserve">Психологическая поддержка</t>
  </si>
  <si>
    <t xml:space="preserve">Консультация психолога через телемедицину Ингосстраха для семей участников СВО</t>
  </si>
  <si>
    <t xml:space="preserve">Партнерство</t>
  </si>
  <si>
    <t xml:space="preserve">Обмен обращениями с фондом «Защитники Отечества»: социальный координатор фонда передает задачи по медпомощи родителю, ИНГОССЕМЬЯ сообщает фонду о социальных вопросах семьи</t>
  </si>
  <si>
    <t xml:space="preserve">Работа для ветеранов</t>
  </si>
  <si>
    <t xml:space="preserve">Ветераны СВО и члены семей участников СВО в приоритете при найме координаторов</t>
  </si>
  <si>
    <t xml:space="preserve">Проверка статуса</t>
  </si>
  <si>
    <t xml:space="preserve">Удостоверение проверяется при подключении; в CRM хранится только категория льготы и дата проверки</t>
  </si>
  <si>
    <t xml:space="preserve">Стоимость льгот для сервиса (недополученная выручка без НДС)</t>
  </si>
  <si>
    <t xml:space="preserve">Сценарий</t>
  </si>
  <si>
    <t xml:space="preserve">За 60 мес., руб.</t>
  </si>
  <si>
    <t xml:space="preserve">Доля выручки за 60 мес.</t>
  </si>
  <si>
    <t xml:space="preserve">Бюджет живого времени координатора на одну семью в месяц</t>
  </si>
  <si>
    <t xml:space="preserve">Нагрузка на координатора рассчитывается от минут, а не задается числом</t>
  </si>
  <si>
    <t xml:space="preserve">Тариф</t>
  </si>
  <si>
    <t xml:space="preserve">Операция</t>
  </si>
  <si>
    <t xml:space="preserve">Раз в месяц</t>
  </si>
  <si>
    <t xml:space="preserve">Минут на операцию</t>
  </si>
  <si>
    <t xml:space="preserve">Минут в месяц</t>
  </si>
  <si>
    <t xml:space="preserve">Плановый звонок родителю</t>
  </si>
  <si>
    <t xml:space="preserve">Перезвон по флагу голосового робота</t>
  </si>
  <si>
    <t xml:space="preserve">Организация услуги (запись, анализы, доставка)</t>
  </si>
  <si>
    <t xml:space="preserve">Проверка отчета ребенку (черновик готовит ИИ)</t>
  </si>
  <si>
    <t xml:space="preserve">Ответы ребенку в чате</t>
  </si>
  <si>
    <t xml:space="preserve">Помощь с льготами ветеранов (доля семей с льготой)</t>
  </si>
  <si>
    <t xml:space="preserve">Итого «Базовый»</t>
  </si>
  <si>
    <t xml:space="preserve">Расширенный</t>
  </si>
  <si>
    <t xml:space="preserve">Плановые звонки родителю</t>
  </si>
  <si>
    <t xml:space="preserve">Организация услуг</t>
  </si>
  <si>
    <t xml:space="preserve">Проверка отчетов ребенку</t>
  </si>
  <si>
    <t xml:space="preserve">Итого «Расширенный»</t>
  </si>
  <si>
    <t xml:space="preserve">Бюджет MVP на 3 месяца</t>
  </si>
  <si>
    <t xml:space="preserve">Итог по статье = количество x цена x месяцев x коэффициент взносов (для ФОТ)</t>
  </si>
  <si>
    <t xml:space="preserve">Статья</t>
  </si>
  <si>
    <t xml:space="preserve">Кол-во</t>
  </si>
  <si>
    <t xml:space="preserve">Цена за ед., руб.</t>
  </si>
  <si>
    <t xml:space="preserve">Месяцев</t>
  </si>
  <si>
    <t xml:space="preserve">Взносы</t>
  </si>
  <si>
    <t xml:space="preserve">Итого, руб.</t>
  </si>
  <si>
    <t xml:space="preserve">Команда</t>
  </si>
  <si>
    <t xml:space="preserve">да</t>
  </si>
  <si>
    <t xml:space="preserve">Рыночная зарплата Москва, 1 FTE</t>
  </si>
  <si>
    <t xml:space="preserve">Исследователь и аналитик</t>
  </si>
  <si>
    <t xml:space="preserve">Анкеты, когорты; первые интервью проводит команда до старта</t>
  </si>
  <si>
    <t xml:space="preserve">Разработчик бота и интеграций</t>
  </si>
  <si>
    <t xml:space="preserve">Бот в MAX на конструкторе, CRM, телефония</t>
  </si>
  <si>
    <t xml:space="preserve">Координаторы (3 человека)</t>
  </si>
  <si>
    <t xml:space="preserve">Операторы ДМС регионального контакт-центра; 1-й месяц на половину ставки</t>
  </si>
  <si>
    <t xml:space="preserve">Врач-методист (терапевт или гериатр)</t>
  </si>
  <si>
    <t xml:space="preserve">Протоколы эскалации, супервизия</t>
  </si>
  <si>
    <t xml:space="preserve">Юрист по ПДн и договорам</t>
  </si>
  <si>
    <t xml:space="preserve">Согласия на медданные, договоры с партнерами</t>
  </si>
  <si>
    <t xml:space="preserve">Бот, лендинг, отчеты</t>
  </si>
  <si>
    <t xml:space="preserve">Обучение</t>
  </si>
  <si>
    <t xml:space="preserve">Курс по работе с пожилыми и основам гериатрии</t>
  </si>
  <si>
    <t xml:space="preserve">нет</t>
  </si>
  <si>
    <t xml:space="preserve">Внешний курс на каждого координатора</t>
  </si>
  <si>
    <t xml:space="preserve">Скрипты звонков и супервизия психолога</t>
  </si>
  <si>
    <t xml:space="preserve">Профилактика выгорания</t>
  </si>
  <si>
    <t xml:space="preserve">Обучение операторов ДМС для резерва</t>
  </si>
  <si>
    <t xml:space="preserve">Внутренний тренинг, 1 день</t>
  </si>
  <si>
    <t xml:space="preserve">Курс: льготы ветеранов и работа с семьями участников СВО</t>
  </si>
  <si>
    <t xml:space="preserve">5-ФЗ «О ветеранах», региональные меры, психологические аспекты; программа с фондом «Защитники Отечества»</t>
  </si>
  <si>
    <t xml:space="preserve">Юридическая схема</t>
  </si>
  <si>
    <t xml:space="preserve">Оформление сервиса через сервисную компанию группы</t>
  </si>
  <si>
    <t xml:space="preserve">Ст. 6 закона 4015-1 ограничивает страховщика страховой деятельностью; заключение юриста, оферта, агентские договоры</t>
  </si>
  <si>
    <t xml:space="preserve">Лицензии и ИТ</t>
  </si>
  <si>
    <t xml:space="preserve">Бот в MAX на конструкторе</t>
  </si>
  <si>
    <t xml:space="preserve">Только MAX, СМС и звонки: финорганизациям запрещены иностранные мессенджеры с 01.06.2025 (41-ФЗ)</t>
  </si>
  <si>
    <t xml:space="preserve">CRM, 6 рабочих мест</t>
  </si>
  <si>
    <t xml:space="preserve">Облачная CRM в РФ</t>
  </si>
  <si>
    <t xml:space="preserve">Виртуальная АТС, 4 места</t>
  </si>
  <si>
    <t xml:space="preserve">Запись разговоров</t>
  </si>
  <si>
    <t xml:space="preserve">Настройка голосового робота на платформе контакт-центра</t>
  </si>
  <si>
    <t xml:space="preserve">Ежедневный опрос самочувствия и лекарств</t>
  </si>
  <si>
    <t xml:space="preserve">Размещение в контуре ИСПДн группы (внутренний перерасчет)</t>
  </si>
  <si>
    <t xml:space="preserve">Ингосстрах уже обрабатывает медданные по ДМС, отдельный контур не строим</t>
  </si>
  <si>
    <t xml:space="preserve">Доработка модели угроз и ОРД под новый сервис</t>
  </si>
  <si>
    <t xml:space="preserve">Спецкатегория ПДн, 152-ФЗ ст. 10 и 19</t>
  </si>
  <si>
    <t xml:space="preserve">Операции</t>
  </si>
  <si>
    <t xml:space="preserve">Минуты голосового робота</t>
  </si>
  <si>
    <t xml:space="preserve">30 звонков x 1 мин x 2,5 руб</t>
  </si>
  <si>
    <t xml:space="preserve">Минуты звонков координаторов</t>
  </si>
  <si>
    <t xml:space="preserve">До 30 мин x 2 руб</t>
  </si>
  <si>
    <t xml:space="preserve">СМС (согласия, уведомления)</t>
  </si>
  <si>
    <t xml:space="preserve">10 СМС x 3 руб</t>
  </si>
  <si>
    <t xml:space="preserve">Консультации дежурного врача телемедицины</t>
  </si>
  <si>
    <t xml:space="preserve">0,4 консультации x 800 руб</t>
  </si>
  <si>
    <t xml:space="preserve">Маркетинг и исследования</t>
  </si>
  <si>
    <t xml:space="preserve">Лендинг и тест цены с предоплатой</t>
  </si>
  <si>
    <t xml:space="preserve">Проверка H2</t>
  </si>
  <si>
    <t xml:space="preserve">Таргетированная реклама (VK, MAX)</t>
  </si>
  <si>
    <t xml:space="preserve">Сравнение внешнего CAC с внутренними каналами</t>
  </si>
  <si>
    <t xml:space="preserve">Онлайн-панель для анкеты, 300 анкет</t>
  </si>
  <si>
    <t xml:space="preserve">Проверка H1 на выборке шире знакомых</t>
  </si>
  <si>
    <t xml:space="preserve">Вознаграждение респондентам</t>
  </si>
  <si>
    <t xml:space="preserve">20 глубинных интервью</t>
  </si>
  <si>
    <t xml:space="preserve">Накладные</t>
  </si>
  <si>
    <t xml:space="preserve">Накладные от ФОТ команды MVP</t>
  </si>
  <si>
    <t xml:space="preserve">Рабочие места, HR, бухгалтерия</t>
  </si>
  <si>
    <t xml:space="preserve">Резерв</t>
  </si>
  <si>
    <t xml:space="preserve">Итого бюджет MVP</t>
  </si>
  <si>
    <t xml:space="preserve">Лимит бюджета</t>
  </si>
  <si>
    <t xml:space="preserve">Условие кейса</t>
  </si>
  <si>
    <t xml:space="preserve">Запас до лимита</t>
  </si>
  <si>
    <t xml:space="preserve">Бюджет по категориям</t>
  </si>
  <si>
    <t xml:space="preserve">Доля</t>
  </si>
  <si>
    <t xml:space="preserve">Сводные результаты по сценариям</t>
  </si>
  <si>
    <t xml:space="preserve">Горизонт 60 месяцев, NPV по месячной ставке дисконтирования</t>
  </si>
  <si>
    <t xml:space="preserve">Показатель</t>
  </si>
  <si>
    <t xml:space="preserve">NPV до налога за 36 мес., руб.</t>
  </si>
  <si>
    <t xml:space="preserve">NPV после налога за 36 мес., руб.</t>
  </si>
  <si>
    <t xml:space="preserve">NPV до налога за 60 мес., руб.</t>
  </si>
  <si>
    <t xml:space="preserve">NPV после налога за 60 мес., руб.</t>
  </si>
  <si>
    <t xml:space="preserve">NPV до налога за 60 мес. с кросс-продажами группы, руб.</t>
  </si>
  <si>
    <t xml:space="preserve">Пиковая потребность в деньгах, руб.</t>
  </si>
  <si>
    <t xml:space="preserve">Месяц операционной безубыточности</t>
  </si>
  <si>
    <t xml:space="preserve">Месяц окупаемости (накопленный результат &gt; 0)</t>
  </si>
  <si>
    <t xml:space="preserve">Семей на конец 36 мес.</t>
  </si>
  <si>
    <t xml:space="preserve">Семей на конец 60 мес.</t>
  </si>
  <si>
    <t xml:space="preserve">Координаторов на конец 60 мес.</t>
  </si>
  <si>
    <t xml:space="preserve">Выручка за MVP, руб.</t>
  </si>
  <si>
    <t xml:space="preserve">Выручка, год 1, руб.</t>
  </si>
  <si>
    <t xml:space="preserve">Выручка, год 2, руб.</t>
  </si>
  <si>
    <t xml:space="preserve">Выручка, год 3, руб.</t>
  </si>
  <si>
    <t xml:space="preserve">Выручка, год 4, руб.</t>
  </si>
  <si>
    <t xml:space="preserve">Выручка, год 5, руб.</t>
  </si>
  <si>
    <t xml:space="preserve">Операционный результат, год 1, руб.</t>
  </si>
  <si>
    <t xml:space="preserve">Операционный результат, год 2, руб.</t>
  </si>
  <si>
    <t xml:space="preserve">Операционный результат, год 3, руб.</t>
  </si>
  <si>
    <t xml:space="preserve">Операционный результат, год 4, руб.</t>
  </si>
  <si>
    <t xml:space="preserve">Операционный результат, год 5, руб.</t>
  </si>
  <si>
    <t xml:space="preserve">Кросс-продажи за 60 мес. (эффект группы), руб.</t>
  </si>
  <si>
    <t xml:space="preserve">Льготы ветеранам за 60 мес. (недополученная выручка), руб.</t>
  </si>
  <si>
    <t xml:space="preserve">Юнит-экономика одной семьи B2C</t>
  </si>
  <si>
    <t xml:space="preserve">Устоявшаяся семья, первый год, без индексации цен и зарплат</t>
  </si>
  <si>
    <t xml:space="preserve">Средний чек по прейскуранту с НДС, руб./мес.</t>
  </si>
  <si>
    <t xml:space="preserve">Средняя скидка по льготам ветеранам</t>
  </si>
  <si>
    <t xml:space="preserve">Средний чек с НДС с учетом льгот, руб./мес.</t>
  </si>
  <si>
    <t xml:space="preserve">Средний чек без НДС, руб./мес.</t>
  </si>
  <si>
    <t xml:space="preserve">Комиссия партнеров без НДС, руб./мес.</t>
  </si>
  <si>
    <t xml:space="preserve">Доля ставки координатора на семью</t>
  </si>
  <si>
    <t xml:space="preserve">Полная стоимость координатора с супервизией, руб./мес.</t>
  </si>
  <si>
    <t xml:space="preserve">Координатор, супервизия, накладные на семью, руб./мес.</t>
  </si>
  <si>
    <t xml:space="preserve">Прочие переменные на семью, руб./мес.</t>
  </si>
  <si>
    <t xml:space="preserve">Маржинальный доход на семью, руб./мес.</t>
  </si>
  <si>
    <t xml:space="preserve">Маржинальность</t>
  </si>
  <si>
    <t xml:space="preserve">Средний срок жизни, мес.</t>
  </si>
  <si>
    <t xml:space="preserve">LTV, руб.</t>
  </si>
  <si>
    <t xml:space="preserve">CAC при полном бюджете (смесь каналов), руб.</t>
  </si>
  <si>
    <t xml:space="preserve">LTV/CAC</t>
  </si>
  <si>
    <t xml:space="preserve">Окупаемость CAC, мес.</t>
  </si>
  <si>
    <t xml:space="preserve">Оценка размера рынка (порядок величины)</t>
  </si>
  <si>
    <t xml:space="preserve">Базовый сценарий</t>
  </si>
  <si>
    <t xml:space="preserve">Значение</t>
  </si>
  <si>
    <t xml:space="preserve">Люди 65+ в РФ</t>
  </si>
  <si>
    <t xml:space="preserve">Росстат через Демоскоп, 01.01.2025</t>
  </si>
  <si>
    <t xml:space="preserve">Доля с хроническими заболеваниями</t>
  </si>
  <si>
    <t xml:space="preserve">Минздрав (Мурашко), 07.2026, для старше трудоспособного возраста, используем как приближение</t>
  </si>
  <si>
    <t xml:space="preserve">Доля живущих отдельно от взрослых детей</t>
  </si>
  <si>
    <t xml:space="preserve">Проверяется анкетой (вопрос 3)</t>
  </si>
  <si>
    <t xml:space="preserve">Доля, где ребенок работает и сам координирует медпомощь</t>
  </si>
  <si>
    <t xml:space="preserve">Проверяется анкетой (вопросы 4-5)</t>
  </si>
  <si>
    <t xml:space="preserve">Доля в городах 250 тыс.+ с доходом, позволяющим платить 2,5 тыс. в месяц</t>
  </si>
  <si>
    <t xml:space="preserve">Оценка команды, проверяется тестом цены</t>
  </si>
  <si>
    <t xml:space="preserve">TAM, семей</t>
  </si>
  <si>
    <t xml:space="preserve">Произведение долей</t>
  </si>
  <si>
    <t xml:space="preserve">TAM, руб. в год</t>
  </si>
  <si>
    <t xml:space="preserve">TAM x средний чек с НДС x 12</t>
  </si>
  <si>
    <t xml:space="preserve">SAM, семей</t>
  </si>
  <si>
    <t xml:space="preserve">TAM x доля платежеспособных в городах 250 тыс.+</t>
  </si>
  <si>
    <t xml:space="preserve">SAM, руб. в год</t>
  </si>
  <si>
    <t xml:space="preserve">SAM x средний чек с НДС x 12</t>
  </si>
  <si>
    <t xml:space="preserve">SOM на 60 мес., семей (базовый сценарий)</t>
  </si>
  <si>
    <t xml:space="preserve">Лист «Сводка»</t>
  </si>
  <si>
    <t xml:space="preserve">Доля SOM от SAM</t>
  </si>
  <si>
    <t xml:space="preserve">SOM / SAM</t>
  </si>
  <si>
    <t xml:space="preserve">Помесячный расчет: сценарий «Пессимистичный»</t>
  </si>
  <si>
    <t xml:space="preserve">Суммы в рублях без НДС. Месяцы 1-3: MVP. Налог на прибыль начисляется в последнем месяце года.</t>
  </si>
  <si>
    <t xml:space="preserve">Год</t>
  </si>
  <si>
    <t xml:space="preserve">Фаза</t>
  </si>
  <si>
    <t xml:space="preserve">Индекс зарплат</t>
  </si>
  <si>
    <t xml:space="preserve">Индекс цен</t>
  </si>
  <si>
    <t xml:space="preserve">Средний чек B2C с НДС, руб.</t>
  </si>
  <si>
    <t xml:space="preserve">Маркетинг, руб.</t>
  </si>
  <si>
    <t xml:space="preserve">Новые семьи: внутренние каналы</t>
  </si>
  <si>
    <t xml:space="preserve">Новые семьи: внешние каналы</t>
  </si>
  <si>
    <t xml:space="preserve">Новые семьи: канал фонда «Защитники Отечества»</t>
  </si>
  <si>
    <t xml:space="preserve">Новые семьи B2C</t>
  </si>
  <si>
    <t xml:space="preserve">Семьи B2C</t>
  </si>
  <si>
    <t xml:space="preserve">Приток B2B2C</t>
  </si>
  <si>
    <t xml:space="preserve">Семьи B2B2C</t>
  </si>
  <si>
    <t xml:space="preserve">Всего семей</t>
  </si>
  <si>
    <t xml:space="preserve">Семьи «Расши-ренный»</t>
  </si>
  <si>
    <t xml:space="preserve">Семьи «Базовый» и B2B2C</t>
  </si>
  <si>
    <t xml:space="preserve">Координа-торы, чел.</t>
  </si>
  <si>
    <t xml:space="preserve">Супер-визоры, чел.</t>
  </si>
  <si>
    <t xml:space="preserve">Выручка: подписка B2C, руб.</t>
  </si>
  <si>
    <t xml:space="preserve">Выручка: B2B2C, руб.</t>
  </si>
  <si>
    <t xml:space="preserve">Выручка: комиссия партнеров, руб.</t>
  </si>
  <si>
    <t xml:space="preserve">Выручка всего, руб.</t>
  </si>
  <si>
    <t xml:space="preserve">Партнерский канал фонда, руб.</t>
  </si>
  <si>
    <t xml:space="preserve">ФОТ координаторов и супервизоров, руб.</t>
  </si>
  <si>
    <t xml:space="preserve">Обучение новых координаторов, руб.</t>
  </si>
  <si>
    <t xml:space="preserve">Переменные расходы на семьи, руб.</t>
  </si>
  <si>
    <t xml:space="preserve">Рабочие места, руб.</t>
  </si>
  <si>
    <t xml:space="preserve">Постоянная команда, руб.</t>
  </si>
  <si>
    <t xml:space="preserve">Накладные, руб.</t>
  </si>
  <si>
    <t xml:space="preserve">Размещение и юрлицо, руб.</t>
  </si>
  <si>
    <t xml:space="preserve">Инвестиции, руб.</t>
  </si>
  <si>
    <t xml:space="preserve">Бюджет MVP, руб.</t>
  </si>
  <si>
    <t xml:space="preserve">Расходы всего, руб.</t>
  </si>
  <si>
    <t xml:space="preserve">Операционный результат, руб.</t>
  </si>
  <si>
    <t xml:space="preserve">Накопленный результат, руб.</t>
  </si>
  <si>
    <t xml:space="preserve">Кросс-продажи (эффект группы), руб.</t>
  </si>
  <si>
    <t xml:space="preserve">Льготы ветеранам: недополученная выручка, руб.</t>
  </si>
  <si>
    <t xml:space="preserve">Налог на прибыль, руб.</t>
  </si>
  <si>
    <t xml:space="preserve">Денежный поток после налога, руб.</t>
  </si>
  <si>
    <t xml:space="preserve">Коэффициент дисконтирования</t>
  </si>
  <si>
    <t xml:space="preserve">Признак безубыточности (месяц)</t>
  </si>
  <si>
    <t xml:space="preserve">Признак окупаемости (месяц)</t>
  </si>
  <si>
    <t xml:space="preserve">MVP</t>
  </si>
  <si>
    <t xml:space="preserve">Масштабирование</t>
  </si>
  <si>
    <t xml:space="preserve">Годовые итоги и налог на прибыль с переносом убытков</t>
  </si>
  <si>
    <t xml:space="preserve">Выручка, руб.</t>
  </si>
  <si>
    <t xml:space="preserve">Убыток к переносу на начало, руб.</t>
  </si>
  <si>
    <t xml:space="preserve">Зачтено убытка, руб.</t>
  </si>
  <si>
    <t xml:space="preserve">Убыток к переносу на конец, руб.</t>
  </si>
  <si>
    <t xml:space="preserve">Кросс-продажи, руб.</t>
  </si>
  <si>
    <t xml:space="preserve">Помесячный расчет: сценарий «Базовый»</t>
  </si>
  <si>
    <t xml:space="preserve">Помесячный расчет: сценарий «Оптимистичный»</t>
  </si>
  <si>
    <t xml:space="preserve">Помесячный расчет: сценарий «Версия 1 без триажа»</t>
  </si>
  <si>
    <t xml:space="preserve">Чувствительность NPV до налога за 60 мес. к параметрам (базовый сценарий)</t>
  </si>
  <si>
    <t xml:space="preserve">Результаты получены многократным прогоном модели в model.py (каждая строка требует отдельного пересчета всех 60 месяцев), поэтому перенесены значениями. Пересчет: python model.py.</t>
  </si>
  <si>
    <t xml:space="preserve">NPV базового сценария, руб.</t>
  </si>
  <si>
    <t xml:space="preserve">NPV при -25%, руб.</t>
  </si>
  <si>
    <t xml:space="preserve">NPV при +25%, руб.</t>
  </si>
  <si>
    <t xml:space="preserve">Размах, руб.</t>
  </si>
  <si>
    <t xml:space="preserve">Ранг</t>
  </si>
  <si>
    <t xml:space="preserve">Цены тарифов</t>
  </si>
  <si>
    <t xml:space="preserve">Минуты координатора на семью</t>
  </si>
  <si>
    <t xml:space="preserve">Отток B2C</t>
  </si>
  <si>
    <t xml:space="preserve">CAC внешних каналов</t>
  </si>
  <si>
    <t xml:space="preserve">Отток первого месяца</t>
  </si>
  <si>
    <t xml:space="preserve">Доля Расширенного</t>
  </si>
  <si>
    <t xml:space="preserve">Активация B2B2C</t>
  </si>
  <si>
    <t xml:space="preserve">Для параметра «Цены тарифов» одновременно меняются цены обоих тарифов и опции B2B2C.</t>
  </si>
  <si>
    <t xml:space="preserve">Анализ рисков методом Монте-Карло</t>
  </si>
  <si>
    <t xml:space="preserve">Треугольные распределения параметров</t>
  </si>
  <si>
    <t xml:space="preserve">Минимум</t>
  </si>
  <si>
    <t xml:space="preserve">Наиболее вероятное</t>
  </si>
  <si>
    <t xml:space="preserve">Максимум</t>
  </si>
  <si>
    <t xml:space="preserve">CAC во внешних каналах, руб.</t>
  </si>
  <si>
    <t xml:space="preserve">Емкость внутренних каналов, семей/мес.</t>
  </si>
  <si>
    <t xml:space="preserve">Отток B2C в месяц</t>
  </si>
  <si>
    <t xml:space="preserve">Множитель минут координатора</t>
  </si>
  <si>
    <t xml:space="preserve">Доля тарифа «Расширенный»</t>
  </si>
  <si>
    <t xml:space="preserve">Зарплата координатора, руб.</t>
  </si>
  <si>
    <t xml:space="preserve">Покупки услуг партнеров, руб./мес.</t>
  </si>
  <si>
    <t xml:space="preserve">Результаты</t>
  </si>
  <si>
    <t xml:space="preserve">Прогонов</t>
  </si>
  <si>
    <t xml:space="preserve">Вероятность NPV(36 мес) &gt; 0</t>
  </si>
  <si>
    <t xml:space="preserve">Вероятность NPV(60 мес) &gt; 0</t>
  </si>
  <si>
    <t xml:space="preserve">NPV(60) P5, руб.</t>
  </si>
  <si>
    <t xml:space="preserve">NPV(60) P50, руб.</t>
  </si>
  <si>
    <t xml:space="preserve">NPV(60) P95, руб.</t>
  </si>
  <si>
    <t xml:space="preserve">Пиковая потребность P50, руб.</t>
  </si>
  <si>
    <t xml:space="preserve">Пиковая потребность P95, руб.</t>
  </si>
  <si>
    <t xml:space="preserve">Доля прогонов с окупаемостью за 60 мес</t>
  </si>
  <si>
    <t xml:space="preserve">Медианный месяц окупаемости (среди окупившихся)</t>
  </si>
  <si>
    <t xml:space="preserve">Подводные камни и их учет в модели</t>
  </si>
  <si>
    <t xml:space="preserve">Риск</t>
  </si>
  <si>
    <t xml:space="preserve">Суть</t>
  </si>
  <si>
    <t xml:space="preserve">Как учтено</t>
  </si>
  <si>
    <t xml:space="preserve">Влияние</t>
  </si>
  <si>
    <t xml:space="preserve">Подписку, вероятно, нельзя продавать от имени страховщика</t>
  </si>
  <si>
    <t xml:space="preserve">Ст. 6 закона 4015-1 ограничивает страховщика страховой деятельностью</t>
  </si>
  <si>
    <t xml:space="preserve">Оператор сервиса: сервисная компания группы; заключение юриста 200 тыс. в MVP и 100 тыс. в месяц после</t>
  </si>
  <si>
    <t xml:space="preserve">Высокое</t>
  </si>
  <si>
    <t xml:space="preserve">Запрет иностранных мессенджеров для финорганизаций</t>
  </si>
  <si>
    <t xml:space="preserve">41-ФЗ от 01.04.2025, с 01.06.2025; плюс трансграничная передача медданных</t>
  </si>
  <si>
    <t xml:space="preserve">В MVP только MAX, СМС и звонки; Telegram исключен</t>
  </si>
  <si>
    <t xml:space="preserve">Медданные родителя это спецкатегория ПДн (152-ФЗ ст. 10)</t>
  </si>
  <si>
    <t xml:space="preserve">Нужно согласие самого родителя, а не ребенка</t>
  </si>
  <si>
    <t xml:space="preserve">Размещение в существующем контуре ИСПДн группы, доработка модели угроз 350 тыс.</t>
  </si>
  <si>
    <t xml:space="preserve">НДС 22% на подписку (425-ФЗ от 28.11.2025)</t>
  </si>
  <si>
    <t xml:space="preserve">Координация не медицинская услуга, льгота ст. 149 не применяется; 18% цены уходит в НДС</t>
  </si>
  <si>
    <t xml:space="preserve">Выручка в модели без НДС</t>
  </si>
  <si>
    <t xml:space="preserve">Нагрузка координатора ограничена временем</t>
  </si>
  <si>
    <t xml:space="preserve">Каждый живой звонок стоит минут; при еженедельных звонках всем экономика не сходится</t>
  </si>
  <si>
    <t xml:space="preserve">Нагрузка считается от бюджета минут; Базовый тариф с одним плановым звонком в месяц</t>
  </si>
  <si>
    <t xml:space="preserve">Отпуска, больничные, работа без выходных</t>
  </si>
  <si>
    <t xml:space="preserve">Робот звонит каждый день, флаги бывают в выходные</t>
  </si>
  <si>
    <t xml:space="preserve">Множитель покрытия 1,2 к числу координаторов</t>
  </si>
  <si>
    <t xml:space="preserve">Среднее</t>
  </si>
  <si>
    <t xml:space="preserve">Высокий отток в первый месяц</t>
  </si>
  <si>
    <t xml:space="preserve">Часть семей пробует и уходит</t>
  </si>
  <si>
    <t xml:space="preserve">Отдельный отток первого месяца 25% (порог H5)</t>
  </si>
  <si>
    <t xml:space="preserve">Рост CAC после исчерпания внутренних каналов</t>
  </si>
  <si>
    <t xml:space="preserve">Внутренние каналы дают ограниченный поток</t>
  </si>
  <si>
    <t xml:space="preserve">Два канала: внутренний до 300 семей в месяц по 1 500 руб., остальное по 6 000 руб.</t>
  </si>
  <si>
    <t xml:space="preserve">Текучесть и выгорание координаторов</t>
  </si>
  <si>
    <t xml:space="preserve">Работа с болеющими пожилыми тяжелая</t>
  </si>
  <si>
    <t xml:space="preserve">Текучесть 30% в год, обучение замены, супервизия психолога</t>
  </si>
  <si>
    <t xml:space="preserve">Отказ родителя от звонков</t>
  </si>
  <si>
    <t xml:space="preserve">Родитель может воспринять сервис как контроль</t>
  </si>
  <si>
    <t xml:space="preserve">Гипотеза H3, метрика согласия и дозвона</t>
  </si>
  <si>
    <t xml:space="preserve">Юридическая граница с медициной</t>
  </si>
  <si>
    <t xml:space="preserve">Координатор не дает медсоветов</t>
  </si>
  <si>
    <t xml:space="preserve">Эскалация на дежурного врача телемедицины с лицензией</t>
  </si>
  <si>
    <t xml:space="preserve">Нет приложения в App Store и Google Play с 01.2025</t>
  </si>
  <si>
    <t xml:space="preserve">Санкционные ограничения</t>
  </si>
  <si>
    <t xml:space="preserve">Канал через MAX и RuStore</t>
  </si>
  <si>
    <t xml:space="preserve">Налоги считаются по отдельному юрлицу</t>
  </si>
  <si>
    <t xml:space="preserve">Консолидированных групп налогоплательщиков нет с 2023, убыток не уменьшает налог страховщика</t>
  </si>
  <si>
    <t xml:space="preserve">Налог по годам с переносом убытков (лимит 50%)</t>
  </si>
  <si>
    <t xml:space="preserve">Проверка льготного статуса</t>
  </si>
  <si>
    <t xml:space="preserve">Статус участника СВО и ветерана подтверждается документом; лишние данные хранить нельзя (152-ФЗ)</t>
  </si>
  <si>
    <t xml:space="preserve">Координатор сверяет удостоверение при подключении, в CRM хранится только категория льготы и дата проверки</t>
  </si>
  <si>
    <t xml:space="preserve">Льготы снижают выручку</t>
  </si>
  <si>
    <t xml:space="preserve">Скидки ветеранам уменьшают средний чек</t>
  </si>
  <si>
    <t xml:space="preserve">Средняя скидка 4,8% заложена в выручку всех сценариев; льготы показаны отдельной строкой</t>
  </si>
  <si>
    <t xml:space="preserve">Бюджет MVP не включает масштабирование</t>
  </si>
  <si>
    <t xml:space="preserve">Интеграции требуют отдельного решения</t>
  </si>
  <si>
    <t xml:space="preserve">Инвестиции 5,5 млн руб. в месяцах 4-12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</si>
</sst>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;\(0.0%\);\-"/>
    <numFmt numFmtId="166" formatCode="0.000"/>
    <numFmt numFmtId="167" formatCode="#,##0;\(#,##0\);\-"/>
    <numFmt numFmtId="168" formatCode="0.00;\(0.00\);\-"/>
    <numFmt numFmtId="169" formatCode="0"/>
    <numFmt numFmtId="170" formatCode="0.0%"/>
    <numFmt numFmtId="171" formatCode="#,##0.0;\(#,##0.0\);\-"/>
    <numFmt numFmtId="172" formatCode="0.0000"/>
    <numFmt numFmtId="173" formatCode="0.000%"/>
    <numFmt numFmtId="174" formatCode="0%"/>
    <numFmt numFmtId="175" formatCode="0.00%"/>
    <numFmt numFmtId="176" formatCode="0.00\x;\(0.00&quot;x)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Times New Roman"/>
      <family val="0"/>
      <charset val="1"/>
    </font>
    <font>
      <i val="true"/>
      <sz val="11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1"/>
      <color rgb="FF008000"/>
      <name val="Times New Roman"/>
      <family val="0"/>
      <charset val="1"/>
    </font>
    <font>
      <b val="true"/>
      <sz val="14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&#1060;&#1080;&#1085;&#1072;&#1085;&#1089;&#1086;&#1074;&#1072;&#1103;_&#1084;&#1086;&#1076;&#1077;&#1083;&#1100;_&#1048;&#1085;&#1075;&#1086;_&#1056;&#1103;&#1076;&#1086;&#1084;.xlsx" TargetMode="External"/><Relationship Id="rId2" Type="http://schemas.openxmlformats.org/officeDocument/2006/relationships/hyperlink" Target="&#1060;&#1080;&#1085;&#1072;&#1085;&#1089;&#1086;&#1074;&#1072;&#1103;_&#1084;&#1086;&#1076;&#1077;&#1083;&#1100;_&#1048;&#1085;&#1075;&#1086;_&#1056;&#1103;&#1076;&#1086;&#1084;.xlsx" TargetMode="External"/><Relationship Id="rId3" Type="http://schemas.openxmlformats.org/officeDocument/2006/relationships/hyperlink" Target="&#1060;&#1080;&#1085;&#1072;&#1085;&#1089;&#1086;&#1074;&#1072;&#1103;_&#1084;&#1086;&#1076;&#1077;&#1083;&#1100;_&#1048;&#1085;&#1075;&#1086;_&#1056;&#1103;&#1076;&#1086;&#1084;.xlsx" TargetMode="External"/><Relationship Id="rId4" Type="http://schemas.openxmlformats.org/officeDocument/2006/relationships/hyperlink" Target="&#1060;&#1080;&#1085;&#1072;&#1085;&#1089;&#1086;&#1074;&#1072;&#1103;_&#1084;&#1086;&#1076;&#1077;&#1083;&#1100;_&#1048;&#1085;&#1075;&#1086;_&#1056;&#1103;&#1076;&#1086;&#1084;.xlsx" TargetMode="External"/><Relationship Id="rId5" Type="http://schemas.openxmlformats.org/officeDocument/2006/relationships/hyperlink" Target="&#1060;&#1080;&#1085;&#1072;&#1085;&#1089;&#1086;&#1074;&#1072;&#1103;_&#1084;&#1086;&#1076;&#1077;&#1083;&#1100;_&#1048;&#1085;&#1075;&#1086;_&#1056;&#1103;&#1076;&#1086;&#1084;.xlsx" TargetMode="External"/><Relationship Id="rId6" Type="http://schemas.openxmlformats.org/officeDocument/2006/relationships/hyperlink" Target="&#1060;&#1080;&#1085;&#1072;&#1085;&#1089;&#1086;&#1074;&#1072;&#1103;_&#1084;&#1086;&#1076;&#1077;&#1083;&#1100;_&#1048;&#1085;&#1075;&#1086;_&#1056;&#1103;&#1076;&#1086;&#1084;.xlsx" TargetMode="External"/><Relationship Id="rId7" Type="http://schemas.openxmlformats.org/officeDocument/2006/relationships/hyperlink" Target="&#1060;&#1080;&#1085;&#1072;&#1085;&#1089;&#1086;&#1074;&#1072;&#1103;_&#1084;&#1086;&#1076;&#1077;&#1083;&#1100;_&#1048;&#1085;&#1075;&#1086;_&#1056;&#1103;&#1076;&#1086;&#1084;.xlsx" TargetMode="External"/><Relationship Id="rId8" Type="http://schemas.openxmlformats.org/officeDocument/2006/relationships/hyperlink" Target="&#1060;&#1080;&#1085;&#1072;&#1085;&#1089;&#1086;&#1074;&#1072;&#1103;_&#1084;&#1086;&#1076;&#1077;&#1083;&#1100;_&#1048;&#1085;&#1075;&#1086;_&#1056;&#1103;&#1076;&#1086;&#1084;.xlsx" TargetMode="External"/><Relationship Id="rId9" Type="http://schemas.openxmlformats.org/officeDocument/2006/relationships/hyperlink" Target="&#1060;&#1080;&#1085;&#1072;&#1085;&#1089;&#1086;&#1074;&#1072;&#1103;_&#1084;&#1086;&#1076;&#1077;&#1083;&#1100;_&#1048;&#1085;&#1075;&#1086;_&#1056;&#1103;&#1076;&#1086;&#1084;.xlsx" TargetMode="External"/><Relationship Id="rId10" Type="http://schemas.openxmlformats.org/officeDocument/2006/relationships/hyperlink" Target="&#1060;&#1080;&#1085;&#1072;&#1085;&#1089;&#1086;&#1074;&#1072;&#1103;_&#1084;&#1086;&#1076;&#1077;&#1083;&#1100;_&#1048;&#1085;&#1075;&#1086;_&#1056;&#1103;&#1076;&#1086;&#1084;.xlsx" TargetMode="External"/><Relationship Id="rId11" Type="http://schemas.openxmlformats.org/officeDocument/2006/relationships/hyperlink" Target="&#1060;&#1080;&#1085;&#1072;&#1085;&#1089;&#1086;&#1074;&#1072;&#1103;_&#1084;&#1086;&#1076;&#1077;&#1083;&#1100;_&#1048;&#1085;&#1075;&#1086;_&#1056;&#1103;&#1076;&#1086;&#1084;.xlsx" TargetMode="External"/><Relationship Id="rId12" Type="http://schemas.openxmlformats.org/officeDocument/2006/relationships/hyperlink" Target="&#1060;&#1080;&#1085;&#1072;&#1085;&#1089;&#1086;&#1074;&#1072;&#1103;_&#1084;&#1086;&#1076;&#1077;&#1083;&#1100;_&#1048;&#1085;&#1075;&#1086;_&#1056;&#1103;&#1076;&#1086;&#1084;.xlsx" TargetMode="External"/><Relationship Id="rId13" Type="http://schemas.openxmlformats.org/officeDocument/2006/relationships/hyperlink" Target="&#1060;&#1080;&#1085;&#1072;&#1085;&#1089;&#1086;&#1074;&#1072;&#1103;_&#1084;&#1086;&#1076;&#1077;&#1083;&#1100;_&#1048;&#1085;&#1075;&#1086;_&#1056;&#1103;&#1076;&#1086;&#1084;.xlsx" TargetMode="External"/><Relationship Id="rId14" Type="http://schemas.openxmlformats.org/officeDocument/2006/relationships/hyperlink" Target="&#1060;&#1080;&#1085;&#1072;&#1085;&#1089;&#1086;&#1074;&#1072;&#1103;_&#1084;&#1086;&#1076;&#1077;&#1083;&#1100;_&#1048;&#1085;&#1075;&#1086;_&#1056;&#1103;&#1076;&#1086;&#1084;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15" hidden="false" customHeight="false" outlineLevel="0" collapsed="false">
      <c r="B6" s="4" t="s">
        <v>4</v>
      </c>
      <c r="C6" s="5" t="s">
        <v>5</v>
      </c>
    </row>
    <row r="7" customFormat="false" ht="25.35" hidden="false" customHeight="false" outlineLevel="0" collapsed="false">
      <c r="B7" s="4" t="s">
        <v>6</v>
      </c>
      <c r="C7" s="5" t="s">
        <v>7</v>
      </c>
    </row>
    <row r="8" customFormat="false" ht="15" hidden="false" customHeight="false" outlineLevel="0" collapsed="false">
      <c r="B8" s="4" t="s">
        <v>8</v>
      </c>
      <c r="C8" s="5" t="s">
        <v>9</v>
      </c>
    </row>
    <row r="9" customFormat="false" ht="15" hidden="false" customHeight="false" outlineLevel="0" collapsed="false">
      <c r="B9" s="4" t="s">
        <v>10</v>
      </c>
      <c r="C9" s="5" t="s">
        <v>11</v>
      </c>
    </row>
    <row r="10" customFormat="false" ht="15" hidden="false" customHeight="false" outlineLevel="0" collapsed="false">
      <c r="B10" s="4" t="s">
        <v>12</v>
      </c>
      <c r="C10" s="5" t="s">
        <v>13</v>
      </c>
    </row>
    <row r="11" customFormat="false" ht="15" hidden="false" customHeight="false" outlineLevel="0" collapsed="false">
      <c r="B11" s="4" t="s">
        <v>14</v>
      </c>
      <c r="C11" s="5" t="s">
        <v>15</v>
      </c>
    </row>
    <row r="12" customFormat="false" ht="15" hidden="false" customHeight="false" outlineLevel="0" collapsed="false">
      <c r="B12" s="4" t="s">
        <v>16</v>
      </c>
      <c r="C12" s="5" t="s">
        <v>17</v>
      </c>
    </row>
    <row r="13" customFormat="false" ht="15" hidden="false" customHeight="false" outlineLevel="0" collapsed="false">
      <c r="B13" s="4" t="s">
        <v>18</v>
      </c>
      <c r="C13" s="5" t="s">
        <v>19</v>
      </c>
    </row>
    <row r="14" customFormat="false" ht="15" hidden="false" customHeight="false" outlineLevel="0" collapsed="false">
      <c r="B14" s="4" t="s">
        <v>20</v>
      </c>
      <c r="C14" s="5" t="s">
        <v>19</v>
      </c>
    </row>
    <row r="15" customFormat="false" ht="15" hidden="false" customHeight="false" outlineLevel="0" collapsed="false">
      <c r="B15" s="4" t="s">
        <v>21</v>
      </c>
      <c r="C15" s="5" t="s">
        <v>19</v>
      </c>
    </row>
    <row r="16" customFormat="false" ht="15" hidden="false" customHeight="false" outlineLevel="0" collapsed="false">
      <c r="B16" s="4" t="s">
        <v>22</v>
      </c>
      <c r="C16" s="5" t="s">
        <v>23</v>
      </c>
    </row>
    <row r="17" customFormat="false" ht="15" hidden="false" customHeight="false" outlineLevel="0" collapsed="false">
      <c r="B17" s="4" t="s">
        <v>24</v>
      </c>
      <c r="C17" s="5" t="s">
        <v>25</v>
      </c>
    </row>
    <row r="18" customFormat="false" ht="15" hidden="false" customHeight="false" outlineLevel="0" collapsed="false">
      <c r="B18" s="4" t="s">
        <v>26</v>
      </c>
      <c r="C18" s="5" t="s">
        <v>27</v>
      </c>
    </row>
    <row r="19" customFormat="false" ht="15" hidden="false" customHeight="false" outlineLevel="0" collapsed="false">
      <c r="B19" s="4" t="s">
        <v>28</v>
      </c>
      <c r="C19" s="5" t="s">
        <v>29</v>
      </c>
    </row>
    <row r="21" customFormat="false" ht="15" hidden="false" customHeight="false" outlineLevel="0" collapsed="false">
      <c r="B21" s="6" t="s">
        <v>30</v>
      </c>
    </row>
    <row r="22" customFormat="false" ht="15" hidden="false" customHeight="false" outlineLevel="0" collapsed="false">
      <c r="B22" s="7" t="s">
        <v>31</v>
      </c>
      <c r="C22" s="7"/>
    </row>
    <row r="23" customFormat="false" ht="15" hidden="false" customHeight="false" outlineLevel="0" collapsed="false">
      <c r="B23" s="8" t="s">
        <v>32</v>
      </c>
      <c r="C23" s="8"/>
    </row>
    <row r="24" customFormat="false" ht="15" hidden="false" customHeight="false" outlineLevel="0" collapsed="false">
      <c r="B24" s="9" t="s">
        <v>33</v>
      </c>
      <c r="C24" s="9"/>
    </row>
    <row r="25" customFormat="false" ht="15" hidden="false" customHeight="false" outlineLevel="0" collapsed="false">
      <c r="B25" s="8" t="s">
        <v>34</v>
      </c>
      <c r="C25" s="8"/>
    </row>
    <row r="26" customFormat="false" ht="15" hidden="false" customHeight="false" outlineLevel="0" collapsed="false">
      <c r="B26" s="8" t="s">
        <v>35</v>
      </c>
      <c r="C26" s="8"/>
    </row>
  </sheetData>
  <mergeCells count="5">
    <mergeCell ref="B22:C22"/>
    <mergeCell ref="B23:C23"/>
    <mergeCell ref="B24:C24"/>
    <mergeCell ref="B25:C25"/>
    <mergeCell ref="B26:C26"/>
  </mergeCells>
  <hyperlinks>
    <hyperlink ref="B6" r:id="rId1" location="'Допущения'!A1" display="Допущения"/>
    <hyperlink ref="B7" r:id="rId2" location="'Льготы%20ветеранам'!A1" display="Льготы ветеранам"/>
    <hyperlink ref="B8" r:id="rId3" location="'Время%20координатора'!A1" display="Время координатора"/>
    <hyperlink ref="B9" r:id="rId4" location="'Бюджет%20MVP'!A1" display="Бюджет MVP"/>
    <hyperlink ref="B10" r:id="rId5" location="'Сводка'!A1" display="Сводка"/>
    <hyperlink ref="B11" r:id="rId6" location="'Юнит-экономика'!A1" display="Юнит-экономика"/>
    <hyperlink ref="B12" r:id="rId7" location="'Рынок'!A1" display="Рынок"/>
    <hyperlink ref="B13" r:id="rId8" location="'Пессимистичный'!A1" display="Пессимистичный"/>
    <hyperlink ref="B14" r:id="rId9" location="'Базовый'!A1" display="Базовый"/>
    <hyperlink ref="B15" r:id="rId10" location="'Оптимистичный'!A1" display="Оптимистичный"/>
    <hyperlink ref="B16" r:id="rId11" location="'Версия%201'!A1" display="Версия 1"/>
    <hyperlink ref="B17" r:id="rId12" location="'Чувствительность'!A1" display="Чувствительность"/>
    <hyperlink ref="B18" r:id="rId13" location="'Монте-Карло'!A1" display="Монте-Карло"/>
    <hyperlink ref="B19" r:id="rId14" location="'Риски%20модели'!A1" display="Риски модели"/>
  </hyperlink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&amp;C&amp;"Times New Roman"Лист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6" min="3" style="0" width="15"/>
    <col collapsed="false" customWidth="true" hidden="false" outlineLevel="0" max="7" min="7" style="0" width="14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0" t="s">
        <v>36</v>
      </c>
    </row>
    <row r="2" customFormat="false" ht="15" hidden="false" customHeight="false" outlineLevel="0" collapsed="false">
      <c r="A2" s="2" t="s">
        <v>37</v>
      </c>
    </row>
    <row r="4" customFormat="false" ht="31.5" hidden="false" customHeight="true" outlineLevel="0" collapsed="false">
      <c r="A4" s="11" t="s">
        <v>38</v>
      </c>
      <c r="B4" s="11" t="s">
        <v>39</v>
      </c>
      <c r="C4" s="11" t="s">
        <v>40</v>
      </c>
      <c r="D4" s="11" t="s">
        <v>20</v>
      </c>
      <c r="E4" s="11" t="s">
        <v>41</v>
      </c>
      <c r="F4" s="11" t="s">
        <v>42</v>
      </c>
      <c r="G4" s="11" t="s">
        <v>43</v>
      </c>
      <c r="H4" s="11" t="s">
        <v>44</v>
      </c>
    </row>
    <row r="5" customFormat="false" ht="15" hidden="false" customHeight="false" outlineLevel="0" collapsed="false">
      <c r="A5" s="3" t="s">
        <v>45</v>
      </c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5" t="s">
        <v>46</v>
      </c>
      <c r="B6" s="12" t="s">
        <v>47</v>
      </c>
      <c r="C6" s="13" t="n">
        <f aca="false">$D6</f>
        <v>0.22</v>
      </c>
      <c r="D6" s="14" t="n">
        <v>0.22</v>
      </c>
      <c r="E6" s="13" t="n">
        <f aca="false">$D6</f>
        <v>0.22</v>
      </c>
      <c r="F6" s="13" t="n">
        <f aca="false">$D6</f>
        <v>0.22</v>
      </c>
      <c r="G6" s="12" t="s">
        <v>48</v>
      </c>
      <c r="H6" s="5" t="s">
        <v>49</v>
      </c>
    </row>
    <row r="7" customFormat="false" ht="15" hidden="false" customHeight="false" outlineLevel="0" collapsed="false">
      <c r="A7" s="5" t="s">
        <v>50</v>
      </c>
      <c r="B7" s="12" t="s">
        <v>47</v>
      </c>
      <c r="C7" s="13" t="n">
        <f aca="false">$D7</f>
        <v>0.25</v>
      </c>
      <c r="D7" s="14" t="n">
        <v>0.25</v>
      </c>
      <c r="E7" s="13" t="n">
        <f aca="false">$D7</f>
        <v>0.25</v>
      </c>
      <c r="F7" s="13" t="n">
        <f aca="false">$D7</f>
        <v>0.25</v>
      </c>
      <c r="G7" s="12" t="s">
        <v>48</v>
      </c>
      <c r="H7" s="5" t="s">
        <v>51</v>
      </c>
    </row>
    <row r="8" customFormat="false" ht="15" hidden="false" customHeight="false" outlineLevel="0" collapsed="false">
      <c r="A8" s="5" t="s">
        <v>52</v>
      </c>
      <c r="B8" s="12" t="s">
        <v>47</v>
      </c>
      <c r="C8" s="13" t="n">
        <f aca="false">$D8</f>
        <v>0.5</v>
      </c>
      <c r="D8" s="14" t="n">
        <v>0.5</v>
      </c>
      <c r="E8" s="13" t="n">
        <f aca="false">$D8</f>
        <v>0.5</v>
      </c>
      <c r="F8" s="13" t="n">
        <f aca="false">$D8</f>
        <v>0.5</v>
      </c>
      <c r="G8" s="12" t="s">
        <v>48</v>
      </c>
      <c r="H8" s="5" t="s">
        <v>53</v>
      </c>
    </row>
    <row r="9" customFormat="false" ht="25.35" hidden="false" customHeight="false" outlineLevel="0" collapsed="false">
      <c r="A9" s="5" t="s">
        <v>54</v>
      </c>
      <c r="B9" s="12" t="s">
        <v>55</v>
      </c>
      <c r="C9" s="15" t="n">
        <f aca="false">$D9</f>
        <v>1.302</v>
      </c>
      <c r="D9" s="16" t="n">
        <v>1.302</v>
      </c>
      <c r="E9" s="15" t="n">
        <f aca="false">$D9</f>
        <v>1.302</v>
      </c>
      <c r="F9" s="15" t="n">
        <f aca="false">$D9</f>
        <v>1.302</v>
      </c>
      <c r="G9" s="12" t="s">
        <v>56</v>
      </c>
      <c r="H9" s="5" t="s">
        <v>57</v>
      </c>
    </row>
    <row r="10" customFormat="false" ht="15" hidden="false" customHeight="false" outlineLevel="0" collapsed="false">
      <c r="A10" s="5" t="s">
        <v>58</v>
      </c>
      <c r="B10" s="12" t="s">
        <v>47</v>
      </c>
      <c r="C10" s="13" t="n">
        <f aca="false">$D10</f>
        <v>0.22</v>
      </c>
      <c r="D10" s="14" t="n">
        <v>0.22</v>
      </c>
      <c r="E10" s="13" t="n">
        <f aca="false">$D10</f>
        <v>0.22</v>
      </c>
      <c r="F10" s="13" t="n">
        <f aca="false">$D10</f>
        <v>0.22</v>
      </c>
      <c r="G10" s="12" t="s">
        <v>56</v>
      </c>
      <c r="H10" s="5" t="s">
        <v>59</v>
      </c>
    </row>
    <row r="11" customFormat="false" ht="15" hidden="false" customHeight="false" outlineLevel="0" collapsed="false">
      <c r="A11" s="5" t="s">
        <v>60</v>
      </c>
      <c r="B11" s="12" t="s">
        <v>47</v>
      </c>
      <c r="C11" s="13" t="n">
        <f aca="false">$D11</f>
        <v>0.08</v>
      </c>
      <c r="D11" s="14" t="n">
        <v>0.08</v>
      </c>
      <c r="E11" s="13" t="n">
        <f aca="false">$D11</f>
        <v>0.08</v>
      </c>
      <c r="F11" s="13" t="n">
        <f aca="false">$D11</f>
        <v>0.08</v>
      </c>
      <c r="G11" s="12" t="s">
        <v>56</v>
      </c>
      <c r="H11" s="5" t="s">
        <v>60</v>
      </c>
    </row>
    <row r="12" customFormat="false" ht="15" hidden="false" customHeight="false" outlineLevel="0" collapsed="false">
      <c r="A12" s="5" t="s">
        <v>61</v>
      </c>
      <c r="B12" s="12" t="s">
        <v>47</v>
      </c>
      <c r="C12" s="13" t="n">
        <f aca="false">$D12</f>
        <v>0.07</v>
      </c>
      <c r="D12" s="14" t="n">
        <v>0.07</v>
      </c>
      <c r="E12" s="13" t="n">
        <f aca="false">$D12</f>
        <v>0.07</v>
      </c>
      <c r="F12" s="13" t="n">
        <f aca="false">$D12</f>
        <v>0.07</v>
      </c>
      <c r="G12" s="12" t="s">
        <v>56</v>
      </c>
      <c r="H12" s="5" t="s">
        <v>62</v>
      </c>
    </row>
    <row r="13" customFormat="false" ht="15" hidden="false" customHeight="false" outlineLevel="0" collapsed="false">
      <c r="A13" s="5" t="s">
        <v>63</v>
      </c>
      <c r="B13" s="12" t="s">
        <v>47</v>
      </c>
      <c r="C13" s="13" t="n">
        <f aca="false">$D13</f>
        <v>0.018</v>
      </c>
      <c r="D13" s="14" t="n">
        <v>0.018</v>
      </c>
      <c r="E13" s="13" t="n">
        <f aca="false">$D13</f>
        <v>0.018</v>
      </c>
      <c r="F13" s="13" t="n">
        <f aca="false">$D13</f>
        <v>0.018</v>
      </c>
      <c r="G13" s="12" t="s">
        <v>56</v>
      </c>
      <c r="H13" s="5" t="s">
        <v>64</v>
      </c>
    </row>
    <row r="14" customFormat="false" ht="15" hidden="false" customHeight="false" outlineLevel="0" collapsed="false">
      <c r="A14" s="5" t="s">
        <v>65</v>
      </c>
      <c r="B14" s="12" t="s">
        <v>47</v>
      </c>
      <c r="C14" s="13" t="n">
        <f aca="false">$D14</f>
        <v>0.1</v>
      </c>
      <c r="D14" s="14" t="n">
        <v>0.1</v>
      </c>
      <c r="E14" s="13" t="n">
        <f aca="false">$D14</f>
        <v>0.1</v>
      </c>
      <c r="F14" s="13" t="n">
        <f aca="false">$D14</f>
        <v>0.1</v>
      </c>
      <c r="G14" s="12" t="s">
        <v>56</v>
      </c>
      <c r="H14" s="5" t="s">
        <v>66</v>
      </c>
    </row>
    <row r="15" customFormat="false" ht="15" hidden="false" customHeight="false" outlineLevel="0" collapsed="false">
      <c r="A15" s="5" t="s">
        <v>67</v>
      </c>
      <c r="B15" s="12" t="s">
        <v>68</v>
      </c>
      <c r="C15" s="17" t="n">
        <f aca="false">$D15</f>
        <v>165</v>
      </c>
      <c r="D15" s="18" t="n">
        <v>165</v>
      </c>
      <c r="E15" s="17" t="n">
        <f aca="false">$D15</f>
        <v>165</v>
      </c>
      <c r="F15" s="17" t="n">
        <f aca="false">$D15</f>
        <v>165</v>
      </c>
      <c r="G15" s="12" t="s">
        <v>56</v>
      </c>
      <c r="H15" s="5" t="s">
        <v>69</v>
      </c>
    </row>
    <row r="16" customFormat="false" ht="15" hidden="false" customHeight="false" outlineLevel="0" collapsed="false">
      <c r="A16" s="5" t="s">
        <v>70</v>
      </c>
      <c r="B16" s="12" t="s">
        <v>47</v>
      </c>
      <c r="C16" s="13" t="n">
        <f aca="false">$D16</f>
        <v>0.75</v>
      </c>
      <c r="D16" s="14" t="n">
        <v>0.75</v>
      </c>
      <c r="E16" s="13" t="n">
        <f aca="false">$D16</f>
        <v>0.75</v>
      </c>
      <c r="F16" s="13" t="n">
        <f aca="false">$D16</f>
        <v>0.75</v>
      </c>
      <c r="G16" s="12" t="s">
        <v>56</v>
      </c>
      <c r="H16" s="5" t="s">
        <v>71</v>
      </c>
    </row>
    <row r="17" customFormat="false" ht="15" hidden="false" customHeight="false" outlineLevel="0" collapsed="false">
      <c r="A17" s="5" t="s">
        <v>72</v>
      </c>
      <c r="B17" s="12" t="s">
        <v>55</v>
      </c>
      <c r="C17" s="19" t="n">
        <f aca="false">$D17</f>
        <v>1.2</v>
      </c>
      <c r="D17" s="20" t="n">
        <v>1.2</v>
      </c>
      <c r="E17" s="19" t="n">
        <f aca="false">$D17</f>
        <v>1.2</v>
      </c>
      <c r="F17" s="19" t="n">
        <f aca="false">$D17</f>
        <v>1.2</v>
      </c>
      <c r="G17" s="12" t="s">
        <v>56</v>
      </c>
      <c r="H17" s="5" t="s">
        <v>73</v>
      </c>
    </row>
    <row r="18" customFormat="false" ht="15" hidden="false" customHeight="false" outlineLevel="0" collapsed="false">
      <c r="A18" s="5" t="s">
        <v>74</v>
      </c>
      <c r="B18" s="12" t="s">
        <v>75</v>
      </c>
      <c r="C18" s="17" t="n">
        <f aca="false">$D18</f>
        <v>3</v>
      </c>
      <c r="D18" s="18" t="n">
        <v>3</v>
      </c>
      <c r="E18" s="17" t="n">
        <f aca="false">$D18</f>
        <v>3</v>
      </c>
      <c r="F18" s="17" t="n">
        <f aca="false">$D18</f>
        <v>3</v>
      </c>
      <c r="G18" s="12" t="s">
        <v>56</v>
      </c>
      <c r="H18" s="5" t="s">
        <v>76</v>
      </c>
    </row>
    <row r="19" customFormat="false" ht="15" hidden="false" customHeight="false" outlineLevel="0" collapsed="false">
      <c r="A19" s="5" t="s">
        <v>77</v>
      </c>
      <c r="B19" s="12" t="s">
        <v>78</v>
      </c>
      <c r="C19" s="21" t="n">
        <f aca="false">$D19</f>
        <v>3</v>
      </c>
      <c r="D19" s="22" t="n">
        <v>3</v>
      </c>
      <c r="E19" s="21" t="n">
        <f aca="false">$D19</f>
        <v>3</v>
      </c>
      <c r="F19" s="21" t="n">
        <f aca="false">$D19</f>
        <v>3</v>
      </c>
      <c r="G19" s="12" t="s">
        <v>79</v>
      </c>
      <c r="H19" s="5" t="s">
        <v>80</v>
      </c>
    </row>
    <row r="20" customFormat="false" ht="15" hidden="false" customHeight="false" outlineLevel="0" collapsed="false">
      <c r="A20" s="5" t="s">
        <v>81</v>
      </c>
      <c r="B20" s="12" t="s">
        <v>82</v>
      </c>
      <c r="C20" s="17" t="n">
        <f aca="false">$D20</f>
        <v>5000000</v>
      </c>
      <c r="D20" s="18" t="n">
        <v>5000000</v>
      </c>
      <c r="E20" s="17" t="n">
        <f aca="false">$D20</f>
        <v>5000000</v>
      </c>
      <c r="F20" s="17" t="n">
        <f aca="false">$D20</f>
        <v>5000000</v>
      </c>
      <c r="G20" s="12" t="s">
        <v>79</v>
      </c>
      <c r="H20" s="5" t="s">
        <v>83</v>
      </c>
    </row>
    <row r="21" customFormat="false" ht="15" hidden="false" customHeight="false" outlineLevel="0" collapsed="false">
      <c r="A21" s="5" t="s">
        <v>84</v>
      </c>
      <c r="B21" s="12" t="s">
        <v>47</v>
      </c>
      <c r="C21" s="13" t="n">
        <f aca="false">$D21</f>
        <v>0.1</v>
      </c>
      <c r="D21" s="14" t="n">
        <v>0.1</v>
      </c>
      <c r="E21" s="13" t="n">
        <f aca="false">$D21</f>
        <v>0.1</v>
      </c>
      <c r="F21" s="13" t="n">
        <f aca="false">$D21</f>
        <v>0.1</v>
      </c>
      <c r="G21" s="12" t="s">
        <v>56</v>
      </c>
      <c r="H21" s="5" t="s">
        <v>85</v>
      </c>
    </row>
    <row r="22" customFormat="false" ht="15" hidden="false" customHeight="false" outlineLevel="0" collapsed="false">
      <c r="A22" s="3" t="s">
        <v>86</v>
      </c>
      <c r="B22" s="3"/>
      <c r="C22" s="3"/>
      <c r="D22" s="3"/>
      <c r="E22" s="3"/>
      <c r="F22" s="3"/>
      <c r="G22" s="3"/>
      <c r="H22" s="3"/>
    </row>
    <row r="23" customFormat="false" ht="25.35" hidden="false" customHeight="false" outlineLevel="0" collapsed="false">
      <c r="A23" s="5" t="s">
        <v>87</v>
      </c>
      <c r="B23" s="12" t="s">
        <v>88</v>
      </c>
      <c r="C23" s="17" t="n">
        <f aca="false">$D23</f>
        <v>2490</v>
      </c>
      <c r="D23" s="18" t="n">
        <v>2490</v>
      </c>
      <c r="E23" s="17" t="n">
        <f aca="false">$D23</f>
        <v>2490</v>
      </c>
      <c r="F23" s="18" t="n">
        <v>1990</v>
      </c>
      <c r="G23" s="12" t="s">
        <v>56</v>
      </c>
      <c r="H23" s="5" t="s">
        <v>89</v>
      </c>
    </row>
    <row r="24" customFormat="false" ht="15" hidden="false" customHeight="false" outlineLevel="0" collapsed="false">
      <c r="A24" s="5" t="s">
        <v>90</v>
      </c>
      <c r="B24" s="12" t="s">
        <v>88</v>
      </c>
      <c r="C24" s="17" t="n">
        <f aca="false">$D24</f>
        <v>4990</v>
      </c>
      <c r="D24" s="18" t="n">
        <v>4990</v>
      </c>
      <c r="E24" s="17" t="n">
        <f aca="false">$D24</f>
        <v>4990</v>
      </c>
      <c r="F24" s="18" t="n">
        <v>3990</v>
      </c>
      <c r="G24" s="12" t="s">
        <v>56</v>
      </c>
      <c r="H24" s="5" t="s">
        <v>91</v>
      </c>
    </row>
    <row r="25" customFormat="false" ht="15" hidden="false" customHeight="false" outlineLevel="0" collapsed="false">
      <c r="A25" s="5" t="s">
        <v>92</v>
      </c>
      <c r="B25" s="12" t="s">
        <v>47</v>
      </c>
      <c r="C25" s="14" t="n">
        <v>0.15</v>
      </c>
      <c r="D25" s="14" t="n">
        <v>0.25</v>
      </c>
      <c r="E25" s="14" t="n">
        <v>0.3</v>
      </c>
      <c r="F25" s="14" t="n">
        <v>0.3</v>
      </c>
      <c r="G25" s="12" t="s">
        <v>56</v>
      </c>
      <c r="H25" s="5" t="s">
        <v>93</v>
      </c>
    </row>
    <row r="26" customFormat="false" ht="15" hidden="false" customHeight="false" outlineLevel="0" collapsed="false">
      <c r="A26" s="5" t="s">
        <v>94</v>
      </c>
      <c r="B26" s="12" t="s">
        <v>95</v>
      </c>
      <c r="C26" s="17" t="n">
        <f aca="false">$D26</f>
        <v>1500</v>
      </c>
      <c r="D26" s="18" t="n">
        <v>1500</v>
      </c>
      <c r="E26" s="17" t="n">
        <f aca="false">$D26</f>
        <v>1500</v>
      </c>
      <c r="F26" s="17" t="n">
        <f aca="false">$D26</f>
        <v>1500</v>
      </c>
      <c r="G26" s="12" t="s">
        <v>56</v>
      </c>
      <c r="H26" s="5" t="s">
        <v>96</v>
      </c>
    </row>
    <row r="27" customFormat="false" ht="15" hidden="false" customHeight="false" outlineLevel="0" collapsed="false">
      <c r="A27" s="5" t="s">
        <v>97</v>
      </c>
      <c r="B27" s="12" t="s">
        <v>47</v>
      </c>
      <c r="C27" s="13" t="n">
        <f aca="false">$D27</f>
        <v>0.1</v>
      </c>
      <c r="D27" s="14" t="n">
        <v>0.1</v>
      </c>
      <c r="E27" s="13" t="n">
        <f aca="false">$D27</f>
        <v>0.1</v>
      </c>
      <c r="F27" s="13" t="n">
        <f aca="false">$D27</f>
        <v>0.1</v>
      </c>
      <c r="G27" s="12" t="s">
        <v>56</v>
      </c>
      <c r="H27" s="5" t="s">
        <v>98</v>
      </c>
    </row>
    <row r="28" customFormat="false" ht="25.35" hidden="false" customHeight="false" outlineLevel="0" collapsed="false">
      <c r="A28" s="5" t="s">
        <v>99</v>
      </c>
      <c r="B28" s="12" t="s">
        <v>88</v>
      </c>
      <c r="C28" s="17" t="n">
        <f aca="false">$D28</f>
        <v>1990</v>
      </c>
      <c r="D28" s="18" t="n">
        <v>1990</v>
      </c>
      <c r="E28" s="17" t="n">
        <f aca="false">$D28</f>
        <v>1990</v>
      </c>
      <c r="F28" s="18" t="n">
        <v>1500</v>
      </c>
      <c r="G28" s="12" t="s">
        <v>56</v>
      </c>
      <c r="H28" s="5" t="s">
        <v>100</v>
      </c>
    </row>
    <row r="29" customFormat="false" ht="15" hidden="false" customHeight="false" outlineLevel="0" collapsed="false">
      <c r="A29" s="5" t="s">
        <v>101</v>
      </c>
      <c r="B29" s="12" t="s">
        <v>82</v>
      </c>
      <c r="C29" s="17" t="n">
        <f aca="false">$D29</f>
        <v>1500</v>
      </c>
      <c r="D29" s="18" t="n">
        <v>1500</v>
      </c>
      <c r="E29" s="17" t="n">
        <f aca="false">$D29</f>
        <v>1500</v>
      </c>
      <c r="F29" s="17" t="n">
        <f aca="false">$D29</f>
        <v>1500</v>
      </c>
      <c r="G29" s="12" t="s">
        <v>56</v>
      </c>
      <c r="H29" s="5" t="s">
        <v>102</v>
      </c>
    </row>
    <row r="30" customFormat="false" ht="15" hidden="false" customHeight="false" outlineLevel="0" collapsed="false">
      <c r="A30" s="5" t="s">
        <v>103</v>
      </c>
      <c r="B30" s="12" t="s">
        <v>104</v>
      </c>
      <c r="C30" s="18" t="n">
        <v>200</v>
      </c>
      <c r="D30" s="18" t="n">
        <v>300</v>
      </c>
      <c r="E30" s="18" t="n">
        <v>400</v>
      </c>
      <c r="F30" s="17" t="n">
        <f aca="false">$D30</f>
        <v>300</v>
      </c>
      <c r="G30" s="12" t="s">
        <v>56</v>
      </c>
      <c r="H30" s="5" t="s">
        <v>105</v>
      </c>
    </row>
    <row r="31" customFormat="false" ht="15" hidden="false" customHeight="false" outlineLevel="0" collapsed="false">
      <c r="A31" s="5" t="s">
        <v>106</v>
      </c>
      <c r="B31" s="12" t="s">
        <v>82</v>
      </c>
      <c r="C31" s="18" t="n">
        <v>7500</v>
      </c>
      <c r="D31" s="18" t="n">
        <v>6000</v>
      </c>
      <c r="E31" s="18" t="n">
        <v>4500</v>
      </c>
      <c r="F31" s="17" t="n">
        <f aca="false">$D31</f>
        <v>6000</v>
      </c>
      <c r="G31" s="12" t="s">
        <v>56</v>
      </c>
      <c r="H31" s="5" t="s">
        <v>107</v>
      </c>
    </row>
    <row r="32" customFormat="false" ht="15" hidden="false" customHeight="false" outlineLevel="0" collapsed="false">
      <c r="A32" s="5" t="s">
        <v>108</v>
      </c>
      <c r="B32" s="12" t="s">
        <v>82</v>
      </c>
      <c r="C32" s="17" t="n">
        <f aca="false">$D32</f>
        <v>400000</v>
      </c>
      <c r="D32" s="18" t="n">
        <v>400000</v>
      </c>
      <c r="E32" s="17" t="n">
        <f aca="false">$D32</f>
        <v>400000</v>
      </c>
      <c r="F32" s="17" t="n">
        <f aca="false">$D32</f>
        <v>400000</v>
      </c>
      <c r="G32" s="12" t="s">
        <v>56</v>
      </c>
      <c r="H32" s="5" t="s">
        <v>109</v>
      </c>
    </row>
    <row r="33" customFormat="false" ht="15" hidden="false" customHeight="false" outlineLevel="0" collapsed="false">
      <c r="A33" s="5" t="s">
        <v>110</v>
      </c>
      <c r="B33" s="12" t="s">
        <v>47</v>
      </c>
      <c r="C33" s="13" t="n">
        <f aca="false">$D33</f>
        <v>0.08</v>
      </c>
      <c r="D33" s="14" t="n">
        <v>0.08</v>
      </c>
      <c r="E33" s="13" t="n">
        <f aca="false">$D33</f>
        <v>0.08</v>
      </c>
      <c r="F33" s="13" t="n">
        <f aca="false">$D33</f>
        <v>0.08</v>
      </c>
      <c r="G33" s="12" t="s">
        <v>56</v>
      </c>
      <c r="H33" s="5" t="s">
        <v>111</v>
      </c>
    </row>
    <row r="34" customFormat="false" ht="15" hidden="false" customHeight="false" outlineLevel="0" collapsed="false">
      <c r="A34" s="5" t="s">
        <v>112</v>
      </c>
      <c r="B34" s="12" t="s">
        <v>88</v>
      </c>
      <c r="C34" s="17" t="n">
        <f aca="false">$D34</f>
        <v>2500000</v>
      </c>
      <c r="D34" s="18" t="n">
        <v>2500000</v>
      </c>
      <c r="E34" s="17" t="n">
        <f aca="false">$D34</f>
        <v>2500000</v>
      </c>
      <c r="F34" s="17" t="n">
        <f aca="false">$D34</f>
        <v>2500000</v>
      </c>
      <c r="G34" s="12" t="s">
        <v>56</v>
      </c>
      <c r="H34" s="5" t="s">
        <v>113</v>
      </c>
    </row>
    <row r="35" customFormat="false" ht="25.35" hidden="false" customHeight="false" outlineLevel="0" collapsed="false">
      <c r="A35" s="5" t="s">
        <v>114</v>
      </c>
      <c r="B35" s="12" t="s">
        <v>115</v>
      </c>
      <c r="C35" s="21" t="n">
        <f aca="false">$D35</f>
        <v>6</v>
      </c>
      <c r="D35" s="22" t="n">
        <v>6</v>
      </c>
      <c r="E35" s="21" t="n">
        <f aca="false">$D35</f>
        <v>6</v>
      </c>
      <c r="F35" s="21" t="n">
        <f aca="false">$D35</f>
        <v>6</v>
      </c>
      <c r="G35" s="12" t="s">
        <v>56</v>
      </c>
      <c r="H35" s="5" t="s">
        <v>116</v>
      </c>
    </row>
    <row r="36" customFormat="false" ht="25.35" hidden="false" customHeight="false" outlineLevel="0" collapsed="false">
      <c r="A36" s="5" t="s">
        <v>117</v>
      </c>
      <c r="B36" s="12" t="s">
        <v>104</v>
      </c>
      <c r="C36" s="18" t="n">
        <v>20</v>
      </c>
      <c r="D36" s="18" t="n">
        <v>40</v>
      </c>
      <c r="E36" s="18" t="n">
        <v>60</v>
      </c>
      <c r="F36" s="17" t="n">
        <f aca="false">$D36</f>
        <v>40</v>
      </c>
      <c r="G36" s="12" t="s">
        <v>56</v>
      </c>
      <c r="H36" s="5" t="s">
        <v>118</v>
      </c>
    </row>
    <row r="37" customFormat="false" ht="25.35" hidden="false" customHeight="false" outlineLevel="0" collapsed="false">
      <c r="A37" s="5" t="s">
        <v>119</v>
      </c>
      <c r="B37" s="12" t="s">
        <v>82</v>
      </c>
      <c r="C37" s="17" t="n">
        <f aca="false">$D37</f>
        <v>500</v>
      </c>
      <c r="D37" s="18" t="n">
        <v>500</v>
      </c>
      <c r="E37" s="17" t="n">
        <f aca="false">$D37</f>
        <v>500</v>
      </c>
      <c r="F37" s="17" t="n">
        <f aca="false">$D37</f>
        <v>500</v>
      </c>
      <c r="G37" s="12" t="s">
        <v>56</v>
      </c>
      <c r="H37" s="5" t="s">
        <v>120</v>
      </c>
    </row>
    <row r="38" customFormat="false" ht="15" hidden="false" customHeight="false" outlineLevel="0" collapsed="false">
      <c r="A38" s="5" t="s">
        <v>121</v>
      </c>
      <c r="B38" s="12" t="s">
        <v>115</v>
      </c>
      <c r="C38" s="21" t="n">
        <f aca="false">$D38</f>
        <v>7</v>
      </c>
      <c r="D38" s="22" t="n">
        <v>7</v>
      </c>
      <c r="E38" s="21" t="n">
        <f aca="false">$D38</f>
        <v>7</v>
      </c>
      <c r="F38" s="21" t="n">
        <f aca="false">$D38</f>
        <v>7</v>
      </c>
      <c r="G38" s="12" t="s">
        <v>56</v>
      </c>
      <c r="H38" s="5" t="s">
        <v>122</v>
      </c>
    </row>
    <row r="39" customFormat="false" ht="15" hidden="false" customHeight="false" outlineLevel="0" collapsed="false">
      <c r="A39" s="5" t="s">
        <v>123</v>
      </c>
      <c r="B39" s="12" t="s">
        <v>124</v>
      </c>
      <c r="C39" s="20" t="n">
        <v>0.5</v>
      </c>
      <c r="D39" s="20" t="n">
        <v>1</v>
      </c>
      <c r="E39" s="20" t="n">
        <v>1.5</v>
      </c>
      <c r="F39" s="19" t="n">
        <f aca="false">$D39</f>
        <v>1</v>
      </c>
      <c r="G39" s="12" t="s">
        <v>56</v>
      </c>
      <c r="H39" s="5" t="s">
        <v>123</v>
      </c>
    </row>
    <row r="40" customFormat="false" ht="15" hidden="false" customHeight="false" outlineLevel="0" collapsed="false">
      <c r="A40" s="5" t="s">
        <v>125</v>
      </c>
      <c r="B40" s="12" t="s">
        <v>75</v>
      </c>
      <c r="C40" s="17" t="n">
        <f aca="false">$D40</f>
        <v>2000</v>
      </c>
      <c r="D40" s="18" t="n">
        <v>2000</v>
      </c>
      <c r="E40" s="17" t="n">
        <f aca="false">$D40</f>
        <v>2000</v>
      </c>
      <c r="F40" s="17" t="n">
        <f aca="false">$D40</f>
        <v>2000</v>
      </c>
      <c r="G40" s="12" t="s">
        <v>56</v>
      </c>
      <c r="H40" s="5" t="s">
        <v>125</v>
      </c>
    </row>
    <row r="41" customFormat="false" ht="15" hidden="false" customHeight="false" outlineLevel="0" collapsed="false">
      <c r="A41" s="5" t="s">
        <v>126</v>
      </c>
      <c r="B41" s="12" t="s">
        <v>47</v>
      </c>
      <c r="C41" s="14" t="n">
        <v>0.02</v>
      </c>
      <c r="D41" s="14" t="n">
        <v>0.03</v>
      </c>
      <c r="E41" s="14" t="n">
        <v>0.04</v>
      </c>
      <c r="F41" s="13" t="n">
        <f aca="false">$D41</f>
        <v>0.03</v>
      </c>
      <c r="G41" s="12" t="s">
        <v>56</v>
      </c>
      <c r="H41" s="5" t="s">
        <v>127</v>
      </c>
    </row>
    <row r="42" customFormat="false" ht="15" hidden="false" customHeight="false" outlineLevel="0" collapsed="false">
      <c r="A42" s="5" t="s">
        <v>128</v>
      </c>
      <c r="B42" s="12" t="s">
        <v>78</v>
      </c>
      <c r="C42" s="21" t="n">
        <f aca="false">$D42</f>
        <v>3</v>
      </c>
      <c r="D42" s="22" t="n">
        <v>3</v>
      </c>
      <c r="E42" s="21" t="n">
        <f aca="false">$D42</f>
        <v>3</v>
      </c>
      <c r="F42" s="21" t="n">
        <f aca="false">$D42</f>
        <v>3</v>
      </c>
      <c r="G42" s="12" t="s">
        <v>56</v>
      </c>
      <c r="H42" s="5" t="s">
        <v>129</v>
      </c>
    </row>
    <row r="43" customFormat="false" ht="15" hidden="false" customHeight="false" outlineLevel="0" collapsed="false">
      <c r="A43" s="5" t="s">
        <v>130</v>
      </c>
      <c r="B43" s="12" t="s">
        <v>47</v>
      </c>
      <c r="C43" s="14" t="n">
        <v>0.35</v>
      </c>
      <c r="D43" s="14" t="n">
        <v>0.25</v>
      </c>
      <c r="E43" s="14" t="n">
        <v>0.18</v>
      </c>
      <c r="F43" s="13" t="n">
        <f aca="false">$D43</f>
        <v>0.25</v>
      </c>
      <c r="G43" s="12" t="s">
        <v>56</v>
      </c>
      <c r="H43" s="5" t="s">
        <v>131</v>
      </c>
    </row>
    <row r="44" customFormat="false" ht="15" hidden="false" customHeight="false" outlineLevel="0" collapsed="false">
      <c r="A44" s="5" t="s">
        <v>132</v>
      </c>
      <c r="B44" s="12" t="s">
        <v>47</v>
      </c>
      <c r="C44" s="14" t="n">
        <v>0.08</v>
      </c>
      <c r="D44" s="14" t="n">
        <v>0.06</v>
      </c>
      <c r="E44" s="14" t="n">
        <v>0.045</v>
      </c>
      <c r="F44" s="13" t="n">
        <f aca="false">$D44</f>
        <v>0.06</v>
      </c>
      <c r="G44" s="12" t="s">
        <v>56</v>
      </c>
      <c r="H44" s="5" t="s">
        <v>132</v>
      </c>
    </row>
    <row r="45" customFormat="false" ht="15" hidden="false" customHeight="false" outlineLevel="0" collapsed="false">
      <c r="A45" s="5" t="s">
        <v>133</v>
      </c>
      <c r="B45" s="12" t="s">
        <v>47</v>
      </c>
      <c r="C45" s="13" t="n">
        <f aca="false">$D45</f>
        <v>0.02</v>
      </c>
      <c r="D45" s="14" t="n">
        <v>0.02</v>
      </c>
      <c r="E45" s="13" t="n">
        <f aca="false">$D45</f>
        <v>0.02</v>
      </c>
      <c r="F45" s="13" t="n">
        <f aca="false">$D45</f>
        <v>0.02</v>
      </c>
      <c r="G45" s="12" t="s">
        <v>56</v>
      </c>
      <c r="H45" s="5" t="s">
        <v>133</v>
      </c>
    </row>
    <row r="46" customFormat="false" ht="15" hidden="false" customHeight="false" outlineLevel="0" collapsed="false">
      <c r="A46" s="5" t="s">
        <v>134</v>
      </c>
      <c r="B46" s="12" t="s">
        <v>55</v>
      </c>
      <c r="C46" s="20" t="n">
        <v>1.3</v>
      </c>
      <c r="D46" s="20" t="n">
        <v>1</v>
      </c>
      <c r="E46" s="20" t="n">
        <v>0.85</v>
      </c>
      <c r="F46" s="19" t="n">
        <f aca="false">$D46</f>
        <v>1</v>
      </c>
      <c r="G46" s="12" t="s">
        <v>56</v>
      </c>
      <c r="H46" s="5" t="s">
        <v>135</v>
      </c>
    </row>
    <row r="47" customFormat="false" ht="15" hidden="false" customHeight="false" outlineLevel="0" collapsed="false">
      <c r="A47" s="5" t="s">
        <v>136</v>
      </c>
      <c r="B47" s="12" t="s">
        <v>88</v>
      </c>
      <c r="C47" s="18" t="n">
        <v>80000</v>
      </c>
      <c r="D47" s="18" t="n">
        <v>70000</v>
      </c>
      <c r="E47" s="18" t="n">
        <v>65000</v>
      </c>
      <c r="F47" s="18" t="n">
        <v>85000</v>
      </c>
      <c r="G47" s="12" t="s">
        <v>56</v>
      </c>
      <c r="H47" s="5" t="s">
        <v>137</v>
      </c>
    </row>
    <row r="48" customFormat="false" ht="15" hidden="false" customHeight="false" outlineLevel="0" collapsed="false">
      <c r="A48" s="5" t="s">
        <v>138</v>
      </c>
      <c r="B48" s="12" t="s">
        <v>75</v>
      </c>
      <c r="C48" s="17" t="n">
        <f aca="false">$D48</f>
        <v>12</v>
      </c>
      <c r="D48" s="18" t="n">
        <v>12</v>
      </c>
      <c r="E48" s="17" t="n">
        <f aca="false">$D48</f>
        <v>12</v>
      </c>
      <c r="F48" s="18" t="n">
        <v>10</v>
      </c>
      <c r="G48" s="12" t="s">
        <v>56</v>
      </c>
      <c r="H48" s="5" t="s">
        <v>138</v>
      </c>
    </row>
    <row r="49" customFormat="false" ht="15" hidden="false" customHeight="false" outlineLevel="0" collapsed="false">
      <c r="A49" s="5" t="s">
        <v>139</v>
      </c>
      <c r="B49" s="12" t="s">
        <v>88</v>
      </c>
      <c r="C49" s="17" t="n">
        <f aca="false">$D49</f>
        <v>110000</v>
      </c>
      <c r="D49" s="18" t="n">
        <v>110000</v>
      </c>
      <c r="E49" s="17" t="n">
        <f aca="false">$D49</f>
        <v>110000</v>
      </c>
      <c r="F49" s="18" t="n">
        <v>130000</v>
      </c>
      <c r="G49" s="12" t="s">
        <v>56</v>
      </c>
      <c r="H49" s="5" t="s">
        <v>139</v>
      </c>
    </row>
    <row r="50" customFormat="false" ht="15" hidden="false" customHeight="false" outlineLevel="0" collapsed="false">
      <c r="A50" s="5" t="s">
        <v>140</v>
      </c>
      <c r="B50" s="12" t="s">
        <v>47</v>
      </c>
      <c r="C50" s="13" t="n">
        <f aca="false">$D50</f>
        <v>0.3</v>
      </c>
      <c r="D50" s="14" t="n">
        <v>0.3</v>
      </c>
      <c r="E50" s="13" t="n">
        <f aca="false">$D50</f>
        <v>0.3</v>
      </c>
      <c r="F50" s="13" t="n">
        <f aca="false">$D50</f>
        <v>0.3</v>
      </c>
      <c r="G50" s="12" t="s">
        <v>56</v>
      </c>
      <c r="H50" s="5" t="s">
        <v>140</v>
      </c>
    </row>
    <row r="51" customFormat="false" ht="15" hidden="false" customHeight="false" outlineLevel="0" collapsed="false">
      <c r="A51" s="5" t="s">
        <v>141</v>
      </c>
      <c r="B51" s="12" t="s">
        <v>82</v>
      </c>
      <c r="C51" s="17" t="n">
        <f aca="false">$D51</f>
        <v>70000</v>
      </c>
      <c r="D51" s="18" t="n">
        <v>70000</v>
      </c>
      <c r="E51" s="17" t="n">
        <f aca="false">$D51</f>
        <v>70000</v>
      </c>
      <c r="F51" s="18" t="n">
        <v>77500</v>
      </c>
      <c r="G51" s="12" t="s">
        <v>142</v>
      </c>
      <c r="H51" s="5" t="s">
        <v>143</v>
      </c>
    </row>
    <row r="52" customFormat="false" ht="15" hidden="false" customHeight="false" outlineLevel="0" collapsed="false">
      <c r="A52" s="5" t="s">
        <v>144</v>
      </c>
      <c r="B52" s="12" t="s">
        <v>88</v>
      </c>
      <c r="C52" s="17" t="n">
        <f aca="false">$D52</f>
        <v>2700</v>
      </c>
      <c r="D52" s="18" t="n">
        <v>2700</v>
      </c>
      <c r="E52" s="17" t="n">
        <f aca="false">$D52</f>
        <v>2700</v>
      </c>
      <c r="F52" s="17" t="n">
        <f aca="false">$D52</f>
        <v>2700</v>
      </c>
      <c r="G52" s="12" t="s">
        <v>56</v>
      </c>
      <c r="H52" s="5" t="s">
        <v>145</v>
      </c>
    </row>
    <row r="53" customFormat="false" ht="15" hidden="false" customHeight="false" outlineLevel="0" collapsed="false">
      <c r="A53" s="5" t="s">
        <v>146</v>
      </c>
      <c r="B53" s="12" t="s">
        <v>88</v>
      </c>
      <c r="C53" s="17" t="n">
        <f aca="false">$D53</f>
        <v>200</v>
      </c>
      <c r="D53" s="18" t="n">
        <v>200</v>
      </c>
      <c r="E53" s="17" t="n">
        <f aca="false">$D53</f>
        <v>200</v>
      </c>
      <c r="F53" s="18" t="n">
        <v>280</v>
      </c>
      <c r="G53" s="12" t="s">
        <v>56</v>
      </c>
      <c r="H53" s="5" t="s">
        <v>147</v>
      </c>
    </row>
    <row r="54" customFormat="false" ht="15" hidden="false" customHeight="false" outlineLevel="0" collapsed="false">
      <c r="A54" s="5" t="s">
        <v>148</v>
      </c>
      <c r="B54" s="12" t="s">
        <v>88</v>
      </c>
      <c r="C54" s="17" t="n">
        <f aca="false">$D54</f>
        <v>165</v>
      </c>
      <c r="D54" s="18" t="n">
        <v>165</v>
      </c>
      <c r="E54" s="17" t="n">
        <f aca="false">$D54</f>
        <v>165</v>
      </c>
      <c r="F54" s="17" t="n">
        <f aca="false">$D54</f>
        <v>165</v>
      </c>
      <c r="G54" s="12" t="s">
        <v>142</v>
      </c>
      <c r="H54" s="5" t="s">
        <v>149</v>
      </c>
    </row>
    <row r="55" customFormat="false" ht="15" hidden="false" customHeight="false" outlineLevel="0" collapsed="false">
      <c r="A55" s="5" t="s">
        <v>150</v>
      </c>
      <c r="B55" s="12" t="s">
        <v>88</v>
      </c>
      <c r="C55" s="17" t="n">
        <f aca="false">$D55</f>
        <v>40000</v>
      </c>
      <c r="D55" s="18" t="n">
        <v>40000</v>
      </c>
      <c r="E55" s="17" t="n">
        <f aca="false">$D55</f>
        <v>40000</v>
      </c>
      <c r="F55" s="17" t="n">
        <f aca="false">$D55</f>
        <v>40000</v>
      </c>
      <c r="G55" s="12" t="s">
        <v>56</v>
      </c>
      <c r="H55" s="5" t="s">
        <v>151</v>
      </c>
    </row>
    <row r="56" customFormat="false" ht="15" hidden="false" customHeight="false" outlineLevel="0" collapsed="false">
      <c r="A56" s="5" t="s">
        <v>152</v>
      </c>
      <c r="B56" s="12" t="s">
        <v>88</v>
      </c>
      <c r="C56" s="17" t="n">
        <f aca="false">$D56</f>
        <v>8000</v>
      </c>
      <c r="D56" s="18" t="n">
        <v>8000</v>
      </c>
      <c r="E56" s="17" t="n">
        <f aca="false">$D56</f>
        <v>8000</v>
      </c>
      <c r="F56" s="17" t="n">
        <f aca="false">$D56</f>
        <v>8000</v>
      </c>
      <c r="G56" s="12" t="s">
        <v>56</v>
      </c>
      <c r="H56" s="5" t="s">
        <v>153</v>
      </c>
    </row>
    <row r="57" customFormat="false" ht="15" hidden="false" customHeight="false" outlineLevel="0" collapsed="false">
      <c r="A57" s="5" t="s">
        <v>154</v>
      </c>
      <c r="B57" s="12" t="s">
        <v>88</v>
      </c>
      <c r="C57" s="17" t="n">
        <f aca="false">$D57</f>
        <v>100000</v>
      </c>
      <c r="D57" s="18" t="n">
        <v>100000</v>
      </c>
      <c r="E57" s="17" t="n">
        <f aca="false">$D57</f>
        <v>100000</v>
      </c>
      <c r="F57" s="17" t="n">
        <f aca="false">$D57</f>
        <v>100000</v>
      </c>
      <c r="G57" s="12" t="s">
        <v>56</v>
      </c>
      <c r="H57" s="5" t="s">
        <v>155</v>
      </c>
    </row>
    <row r="58" customFormat="false" ht="15" hidden="false" customHeight="false" outlineLevel="0" collapsed="false">
      <c r="A58" s="5" t="s">
        <v>156</v>
      </c>
      <c r="B58" s="12" t="s">
        <v>47</v>
      </c>
      <c r="C58" s="23" t="n">
        <v>0.003</v>
      </c>
      <c r="D58" s="23" t="n">
        <v>0.006</v>
      </c>
      <c r="E58" s="23" t="n">
        <v>0.009</v>
      </c>
      <c r="F58" s="24" t="n">
        <f aca="false">$D58</f>
        <v>0.006</v>
      </c>
      <c r="G58" s="12" t="s">
        <v>56</v>
      </c>
      <c r="H58" s="5" t="s">
        <v>157</v>
      </c>
    </row>
    <row r="59" customFormat="false" ht="15" hidden="false" customHeight="false" outlineLevel="0" collapsed="false">
      <c r="A59" s="5" t="s">
        <v>158</v>
      </c>
      <c r="B59" s="12" t="s">
        <v>82</v>
      </c>
      <c r="C59" s="17" t="n">
        <f aca="false">$D59</f>
        <v>5500</v>
      </c>
      <c r="D59" s="18" t="n">
        <v>5500</v>
      </c>
      <c r="E59" s="17" t="n">
        <f aca="false">$D59</f>
        <v>5500</v>
      </c>
      <c r="F59" s="17" t="n">
        <f aca="false">$D59</f>
        <v>5500</v>
      </c>
      <c r="G59" s="12" t="s">
        <v>56</v>
      </c>
      <c r="H59" s="5" t="s">
        <v>159</v>
      </c>
    </row>
    <row r="60" customFormat="false" ht="15" hidden="false" customHeight="false" outlineLevel="0" collapsed="false">
      <c r="A60" s="5" t="s">
        <v>160</v>
      </c>
      <c r="B60" s="12" t="s">
        <v>47</v>
      </c>
      <c r="C60" s="13" t="n">
        <f aca="false">$D60</f>
        <v>0.6</v>
      </c>
      <c r="D60" s="14" t="n">
        <v>0.6</v>
      </c>
      <c r="E60" s="13" t="n">
        <f aca="false">$D60</f>
        <v>0.6</v>
      </c>
      <c r="F60" s="13" t="n">
        <f aca="false">$D60</f>
        <v>0.6</v>
      </c>
      <c r="G60" s="12" t="s">
        <v>56</v>
      </c>
      <c r="H60" s="5" t="s">
        <v>161</v>
      </c>
    </row>
    <row r="61" customFormat="false" ht="15" hidden="false" customHeight="false" outlineLevel="0" collapsed="false">
      <c r="A61" s="3" t="s">
        <v>162</v>
      </c>
      <c r="B61" s="3"/>
      <c r="C61" s="3"/>
      <c r="D61" s="3"/>
      <c r="E61" s="3"/>
      <c r="F61" s="3"/>
      <c r="G61" s="3"/>
      <c r="H61" s="3"/>
    </row>
    <row r="62" customFormat="false" ht="25.35" hidden="false" customHeight="false" outlineLevel="0" collapsed="false">
      <c r="A62" s="5" t="s">
        <v>163</v>
      </c>
      <c r="B62" s="12" t="s">
        <v>164</v>
      </c>
      <c r="C62" s="18"/>
      <c r="D62" s="18"/>
      <c r="E62" s="18"/>
      <c r="F62" s="18" t="n">
        <v>100</v>
      </c>
      <c r="G62" s="12" t="s">
        <v>56</v>
      </c>
      <c r="H62" s="5" t="s">
        <v>165</v>
      </c>
    </row>
    <row r="63" customFormat="false" ht="25.35" hidden="false" customHeight="false" outlineLevel="0" collapsed="false">
      <c r="A63" s="5" t="s">
        <v>166</v>
      </c>
      <c r="B63" s="12" t="s">
        <v>55</v>
      </c>
      <c r="C63" s="20"/>
      <c r="D63" s="20"/>
      <c r="E63" s="20"/>
      <c r="F63" s="20" t="n">
        <v>1.8</v>
      </c>
      <c r="G63" s="12" t="s">
        <v>56</v>
      </c>
      <c r="H63" s="5" t="s">
        <v>165</v>
      </c>
    </row>
    <row r="64" customFormat="false" ht="15" hidden="false" customHeight="false" outlineLevel="0" collapsed="false">
      <c r="A64" s="3" t="s">
        <v>167</v>
      </c>
      <c r="B64" s="3"/>
      <c r="C64" s="3"/>
      <c r="D64" s="3"/>
      <c r="E64" s="3"/>
      <c r="F64" s="3"/>
      <c r="G64" s="3"/>
      <c r="H64" s="3"/>
    </row>
    <row r="65" customFormat="false" ht="15" hidden="false" customHeight="false" outlineLevel="0" collapsed="false">
      <c r="A65" s="5" t="s">
        <v>168</v>
      </c>
      <c r="B65" s="12" t="s">
        <v>169</v>
      </c>
      <c r="C65" s="25" t="n">
        <f aca="false">'Время координатора'!$E$11*C46</f>
        <v>62.79</v>
      </c>
      <c r="D65" s="25" t="n">
        <f aca="false">'Время координатора'!$E$11*D46</f>
        <v>48.3</v>
      </c>
      <c r="E65" s="25" t="n">
        <f aca="false">'Время координатора'!$E$11*E46</f>
        <v>41.055</v>
      </c>
      <c r="F65" s="25" t="n">
        <f aca="false">'Время координатора'!$E$11*F46</f>
        <v>48.3</v>
      </c>
      <c r="G65" s="12" t="s">
        <v>142</v>
      </c>
      <c r="H65" s="5" t="s">
        <v>170</v>
      </c>
    </row>
    <row r="66" customFormat="false" ht="25.35" hidden="false" customHeight="false" outlineLevel="0" collapsed="false">
      <c r="A66" s="5" t="s">
        <v>171</v>
      </c>
      <c r="B66" s="12" t="s">
        <v>169</v>
      </c>
      <c r="C66" s="25" t="n">
        <f aca="false">'Время координатора'!$E$18*C46</f>
        <v>156.39</v>
      </c>
      <c r="D66" s="25" t="n">
        <f aca="false">'Время координатора'!$E$18*D46</f>
        <v>120.3</v>
      </c>
      <c r="E66" s="25" t="n">
        <f aca="false">'Время координатора'!$E$18*E46</f>
        <v>102.255</v>
      </c>
      <c r="F66" s="25" t="n">
        <f aca="false">'Время координатора'!$E$18*F46</f>
        <v>120.3</v>
      </c>
      <c r="G66" s="12" t="s">
        <v>142</v>
      </c>
      <c r="H66" s="5" t="s">
        <v>170</v>
      </c>
    </row>
    <row r="67" customFormat="false" ht="25.35" hidden="false" customHeight="false" outlineLevel="0" collapsed="false">
      <c r="A67" s="5" t="s">
        <v>172</v>
      </c>
      <c r="B67" s="12" t="s">
        <v>169</v>
      </c>
      <c r="C67" s="17" t="n">
        <f aca="false">C15*60*C16/C17</f>
        <v>6187.5</v>
      </c>
      <c r="D67" s="17" t="n">
        <f aca="false">D15*60*D16/D17</f>
        <v>6187.5</v>
      </c>
      <c r="E67" s="17" t="n">
        <f aca="false">E15*60*E16/E17</f>
        <v>6187.5</v>
      </c>
      <c r="F67" s="17" t="n">
        <f aca="false">F15*60*F16/F17</f>
        <v>6187.5</v>
      </c>
      <c r="G67" s="12" t="s">
        <v>142</v>
      </c>
      <c r="H67" s="5" t="s">
        <v>173</v>
      </c>
    </row>
    <row r="68" customFormat="false" ht="15" hidden="false" customHeight="false" outlineLevel="0" collapsed="false">
      <c r="A68" s="5" t="s">
        <v>174</v>
      </c>
      <c r="B68" s="12" t="s">
        <v>164</v>
      </c>
      <c r="C68" s="25" t="n">
        <f aca="false">IF(C62="",C67/C65,C62/C17)</f>
        <v>98.5427615862399</v>
      </c>
      <c r="D68" s="25" t="n">
        <f aca="false">IF(D62="",D67/D65,D62/D17)</f>
        <v>128.105590062112</v>
      </c>
      <c r="E68" s="25" t="n">
        <f aca="false">IF(E62="",E67/E65,E62/E17)</f>
        <v>150.712458896602</v>
      </c>
      <c r="F68" s="25" t="n">
        <f aca="false">IF(F62="",F67/F65,F62/F17)</f>
        <v>83.3333333333333</v>
      </c>
      <c r="G68" s="12" t="s">
        <v>142</v>
      </c>
      <c r="H68" s="5" t="s">
        <v>175</v>
      </c>
    </row>
    <row r="69" customFormat="false" ht="15" hidden="false" customHeight="false" outlineLevel="0" collapsed="false">
      <c r="A69" s="5" t="s">
        <v>176</v>
      </c>
      <c r="B69" s="12" t="s">
        <v>164</v>
      </c>
      <c r="C69" s="25" t="n">
        <f aca="false">IF(C62="",C67/C66,C62/C63/C17)</f>
        <v>39.5645501630539</v>
      </c>
      <c r="D69" s="25" t="n">
        <f aca="false">IF(D62="",D67/D66,D62/D63/D17)</f>
        <v>51.4339152119701</v>
      </c>
      <c r="E69" s="25" t="n">
        <f aca="false">IF(E62="",E67/E66,E62/E63/E17)</f>
        <v>60.5104884846707</v>
      </c>
      <c r="F69" s="25" t="n">
        <f aca="false">IF(F62="",F67/F66,F62/F63/F17)</f>
        <v>46.2962962962963</v>
      </c>
      <c r="G69" s="12" t="s">
        <v>142</v>
      </c>
      <c r="H69" s="5" t="s">
        <v>175</v>
      </c>
    </row>
    <row r="70" customFormat="false" ht="15" hidden="false" customHeight="false" outlineLevel="0" collapsed="false">
      <c r="A70" s="5" t="s">
        <v>177</v>
      </c>
      <c r="B70" s="12" t="s">
        <v>88</v>
      </c>
      <c r="C70" s="17" t="n">
        <f aca="false">C23*(1-C25)+C24*C25</f>
        <v>2865</v>
      </c>
      <c r="D70" s="17" t="n">
        <f aca="false">D23*(1-D25)+D24*D25</f>
        <v>3115</v>
      </c>
      <c r="E70" s="17" t="n">
        <f aca="false">E23*(1-E25)+E24*E25</f>
        <v>3240</v>
      </c>
      <c r="F70" s="17" t="n">
        <f aca="false">F23*(1-F25)+F24*F25</f>
        <v>2590</v>
      </c>
      <c r="G70" s="12" t="s">
        <v>142</v>
      </c>
      <c r="H70" s="5" t="s">
        <v>178</v>
      </c>
    </row>
    <row r="71" customFormat="false" ht="25.35" hidden="false" customHeight="false" outlineLevel="0" collapsed="false">
      <c r="A71" s="5" t="s">
        <v>179</v>
      </c>
      <c r="B71" s="12" t="s">
        <v>88</v>
      </c>
      <c r="C71" s="17" t="n">
        <f aca="false">C70*(1-'Льготы ветеранам'!$D$9)</f>
        <v>2727.48</v>
      </c>
      <c r="D71" s="17" t="n">
        <f aca="false">D70*(1-'Льготы ветеранам'!$D$9)</f>
        <v>2965.48</v>
      </c>
      <c r="E71" s="17" t="n">
        <f aca="false">E70*(1-'Льготы ветеранам'!$D$9)</f>
        <v>3084.48</v>
      </c>
      <c r="F71" s="17" t="n">
        <f aca="false">F70*(1-'Льготы ветеранам'!$D$9)</f>
        <v>2465.68</v>
      </c>
      <c r="G71" s="12" t="s">
        <v>142</v>
      </c>
      <c r="H71" s="5" t="s">
        <v>180</v>
      </c>
    </row>
    <row r="72" customFormat="false" ht="15" hidden="false" customHeight="false" outlineLevel="0" collapsed="false">
      <c r="A72" s="5" t="s">
        <v>181</v>
      </c>
      <c r="B72" s="12" t="s">
        <v>55</v>
      </c>
      <c r="C72" s="26" t="n">
        <f aca="false">'Льготы ветеранам'!$D$9/(1-'Льготы ветеранам'!$D$9)</f>
        <v>0.0504201680672269</v>
      </c>
      <c r="D72" s="26" t="n">
        <f aca="false">'Льготы ветеранам'!$D$9/(1-'Льготы ветеранам'!$D$9)</f>
        <v>0.0504201680672269</v>
      </c>
      <c r="E72" s="26" t="n">
        <f aca="false">'Льготы ветеранам'!$D$9/(1-'Льготы ветеранам'!$D$9)</f>
        <v>0.0504201680672269</v>
      </c>
      <c r="F72" s="26" t="n">
        <f aca="false">'Льготы ветеранам'!$D$9/(1-'Льготы ветеранам'!$D$9)</f>
        <v>0.0504201680672269</v>
      </c>
      <c r="G72" s="12" t="s">
        <v>142</v>
      </c>
      <c r="H72" s="5" t="s">
        <v>182</v>
      </c>
    </row>
    <row r="73" customFormat="false" ht="15" hidden="false" customHeight="false" outlineLevel="0" collapsed="false">
      <c r="A73" s="5" t="s">
        <v>183</v>
      </c>
      <c r="B73" s="12" t="s">
        <v>164</v>
      </c>
      <c r="C73" s="25" t="n">
        <f aca="false">C39*C40*C41</f>
        <v>20</v>
      </c>
      <c r="D73" s="25" t="n">
        <f aca="false">D39*D40*D41</f>
        <v>60</v>
      </c>
      <c r="E73" s="25" t="n">
        <f aca="false">E39*E40*E41</f>
        <v>120</v>
      </c>
      <c r="F73" s="25" t="n">
        <f aca="false">F39*F40*F41</f>
        <v>60</v>
      </c>
      <c r="G73" s="12" t="s">
        <v>142</v>
      </c>
      <c r="H73" s="5" t="s">
        <v>184</v>
      </c>
    </row>
    <row r="74" customFormat="false" ht="15" hidden="false" customHeight="false" outlineLevel="0" collapsed="false">
      <c r="A74" s="5" t="s">
        <v>185</v>
      </c>
      <c r="B74" s="12" t="s">
        <v>47</v>
      </c>
      <c r="C74" s="27" t="n">
        <f aca="false">(1+C10)^(1/12)-1</f>
        <v>0.0167089638731281</v>
      </c>
      <c r="D74" s="27" t="n">
        <f aca="false">(1+D10)^(1/12)-1</f>
        <v>0.0167089638731281</v>
      </c>
      <c r="E74" s="27" t="n">
        <f aca="false">(1+E10)^(1/12)-1</f>
        <v>0.0167089638731281</v>
      </c>
      <c r="F74" s="27" t="n">
        <f aca="false">(1+F10)^(1/12)-1</f>
        <v>0.0167089638731281</v>
      </c>
      <c r="G74" s="12" t="s">
        <v>142</v>
      </c>
      <c r="H74" s="5" t="s">
        <v>186</v>
      </c>
    </row>
    <row r="76" customFormat="false" ht="15" hidden="false" customHeight="false" outlineLevel="0" collapsed="false">
      <c r="A76" s="6" t="s">
        <v>187</v>
      </c>
    </row>
    <row r="77" customFormat="false" ht="15" hidden="false" customHeight="false" outlineLevel="0" collapsed="false">
      <c r="A77" s="11" t="s">
        <v>188</v>
      </c>
      <c r="B77" s="11" t="s">
        <v>189</v>
      </c>
    </row>
    <row r="78" customFormat="false" ht="15" hidden="false" customHeight="false" outlineLevel="0" collapsed="false">
      <c r="A78" s="28" t="n">
        <v>1</v>
      </c>
      <c r="B78" s="18" t="n">
        <v>0</v>
      </c>
    </row>
    <row r="79" customFormat="false" ht="15" hidden="false" customHeight="false" outlineLevel="0" collapsed="false">
      <c r="A79" s="28" t="n">
        <v>2</v>
      </c>
      <c r="B79" s="18" t="n">
        <v>50</v>
      </c>
    </row>
    <row r="80" customFormat="false" ht="15" hidden="false" customHeight="false" outlineLevel="0" collapsed="false">
      <c r="A80" s="28" t="n">
        <v>3</v>
      </c>
      <c r="B80" s="18" t="n">
        <v>150</v>
      </c>
    </row>
    <row r="82" customFormat="false" ht="15" hidden="false" customHeight="false" outlineLevel="0" collapsed="false">
      <c r="A82" s="6" t="s">
        <v>190</v>
      </c>
    </row>
    <row r="83" customFormat="false" ht="25.35" hidden="false" customHeight="false" outlineLevel="0" collapsed="false">
      <c r="A83" s="11" t="s">
        <v>191</v>
      </c>
      <c r="B83" s="11" t="s">
        <v>192</v>
      </c>
      <c r="C83" s="11" t="s">
        <v>193</v>
      </c>
      <c r="D83" s="11" t="s">
        <v>194</v>
      </c>
      <c r="E83" s="11" t="s">
        <v>195</v>
      </c>
    </row>
    <row r="84" customFormat="false" ht="15" hidden="false" customHeight="false" outlineLevel="0" collapsed="false">
      <c r="A84" s="4" t="s">
        <v>196</v>
      </c>
      <c r="B84" s="20" t="n">
        <v>1</v>
      </c>
      <c r="C84" s="18" t="n">
        <v>230000</v>
      </c>
      <c r="D84" s="29" t="n">
        <v>4</v>
      </c>
      <c r="E84" s="4"/>
    </row>
    <row r="85" customFormat="false" ht="15" hidden="false" customHeight="false" outlineLevel="0" collapsed="false">
      <c r="A85" s="4" t="s">
        <v>197</v>
      </c>
      <c r="B85" s="20" t="n">
        <v>1</v>
      </c>
      <c r="C85" s="18" t="n">
        <v>260000</v>
      </c>
      <c r="D85" s="29" t="n">
        <v>4</v>
      </c>
      <c r="E85" s="4"/>
    </row>
    <row r="86" customFormat="false" ht="15" hidden="false" customHeight="false" outlineLevel="0" collapsed="false">
      <c r="A86" s="4" t="s">
        <v>198</v>
      </c>
      <c r="B86" s="20" t="n">
        <v>1</v>
      </c>
      <c r="C86" s="18" t="n">
        <v>260000</v>
      </c>
      <c r="D86" s="29" t="n">
        <v>10</v>
      </c>
      <c r="E86" s="4" t="s">
        <v>199</v>
      </c>
    </row>
    <row r="87" customFormat="false" ht="15" hidden="false" customHeight="false" outlineLevel="0" collapsed="false">
      <c r="A87" s="4" t="s">
        <v>200</v>
      </c>
      <c r="B87" s="20" t="n">
        <v>1</v>
      </c>
      <c r="C87" s="18" t="n">
        <v>170000</v>
      </c>
      <c r="D87" s="29" t="n">
        <v>4</v>
      </c>
      <c r="E87" s="4"/>
    </row>
    <row r="88" customFormat="false" ht="15" hidden="false" customHeight="false" outlineLevel="0" collapsed="false">
      <c r="A88" s="4" t="s">
        <v>201</v>
      </c>
      <c r="B88" s="20" t="n">
        <v>0.5</v>
      </c>
      <c r="C88" s="18" t="n">
        <v>220000</v>
      </c>
      <c r="D88" s="29" t="n">
        <v>4</v>
      </c>
      <c r="E88" s="4"/>
    </row>
    <row r="89" customFormat="false" ht="15" hidden="false" customHeight="false" outlineLevel="0" collapsed="false">
      <c r="A89" s="4" t="s">
        <v>202</v>
      </c>
      <c r="B89" s="20" t="n">
        <v>0.5</v>
      </c>
      <c r="C89" s="18" t="n">
        <v>200000</v>
      </c>
      <c r="D89" s="29" t="n">
        <v>4</v>
      </c>
      <c r="E89" s="4"/>
    </row>
    <row r="90" customFormat="false" ht="15" hidden="false" customHeight="false" outlineLevel="0" collapsed="false">
      <c r="A90" s="4" t="s">
        <v>203</v>
      </c>
      <c r="B90" s="20" t="n">
        <v>1</v>
      </c>
      <c r="C90" s="18" t="n">
        <v>180000</v>
      </c>
      <c r="D90" s="29" t="n">
        <v>6</v>
      </c>
      <c r="E90" s="4"/>
    </row>
    <row r="91" customFormat="false" ht="15" hidden="false" customHeight="false" outlineLevel="0" collapsed="false">
      <c r="A91" s="4" t="s">
        <v>204</v>
      </c>
      <c r="B91" s="20" t="n">
        <v>1</v>
      </c>
      <c r="C91" s="18" t="n">
        <v>200000</v>
      </c>
      <c r="D91" s="29" t="n">
        <v>6</v>
      </c>
      <c r="E91" s="4"/>
    </row>
    <row r="93" customFormat="false" ht="15" hidden="false" customHeight="false" outlineLevel="0" collapsed="false">
      <c r="A93" s="6" t="s">
        <v>205</v>
      </c>
    </row>
    <row r="94" customFormat="false" ht="15" hidden="false" customHeight="false" outlineLevel="0" collapsed="false">
      <c r="A94" s="11" t="s">
        <v>206</v>
      </c>
      <c r="B94" s="11" t="s">
        <v>207</v>
      </c>
      <c r="C94" s="11" t="s">
        <v>208</v>
      </c>
    </row>
    <row r="95" customFormat="false" ht="15" hidden="false" customHeight="false" outlineLevel="0" collapsed="false">
      <c r="A95" s="4" t="s">
        <v>209</v>
      </c>
      <c r="B95" s="29" t="n">
        <v>4</v>
      </c>
      <c r="C95" s="18" t="n">
        <v>1000000</v>
      </c>
    </row>
    <row r="96" customFormat="false" ht="15" hidden="false" customHeight="false" outlineLevel="0" collapsed="false">
      <c r="A96" s="4" t="s">
        <v>209</v>
      </c>
      <c r="B96" s="29" t="n">
        <v>5</v>
      </c>
      <c r="C96" s="18" t="n">
        <v>1000000</v>
      </c>
    </row>
    <row r="97" customFormat="false" ht="15" hidden="false" customHeight="false" outlineLevel="0" collapsed="false">
      <c r="A97" s="4" t="s">
        <v>209</v>
      </c>
      <c r="B97" s="29" t="n">
        <v>6</v>
      </c>
      <c r="C97" s="18" t="n">
        <v>1000000</v>
      </c>
    </row>
    <row r="98" customFormat="false" ht="15" hidden="false" customHeight="false" outlineLevel="0" collapsed="false">
      <c r="A98" s="4" t="s">
        <v>210</v>
      </c>
      <c r="B98" s="29" t="n">
        <v>7</v>
      </c>
      <c r="C98" s="18" t="n">
        <v>500000</v>
      </c>
    </row>
    <row r="99" customFormat="false" ht="15" hidden="false" customHeight="false" outlineLevel="0" collapsed="false">
      <c r="A99" s="4" t="s">
        <v>210</v>
      </c>
      <c r="B99" s="29" t="n">
        <v>8</v>
      </c>
      <c r="C99" s="18" t="n">
        <v>500000</v>
      </c>
    </row>
    <row r="100" customFormat="false" ht="15" hidden="false" customHeight="false" outlineLevel="0" collapsed="false">
      <c r="A100" s="4" t="s">
        <v>210</v>
      </c>
      <c r="B100" s="29" t="n">
        <v>9</v>
      </c>
      <c r="C100" s="18" t="n">
        <v>500000</v>
      </c>
    </row>
    <row r="101" customFormat="false" ht="15" hidden="false" customHeight="false" outlineLevel="0" collapsed="false">
      <c r="A101" s="4" t="s">
        <v>211</v>
      </c>
      <c r="B101" s="29" t="n">
        <v>10</v>
      </c>
      <c r="C101" s="18" t="n">
        <v>350000</v>
      </c>
    </row>
    <row r="102" customFormat="false" ht="15" hidden="false" customHeight="false" outlineLevel="0" collapsed="false">
      <c r="A102" s="4" t="s">
        <v>211</v>
      </c>
      <c r="B102" s="29" t="n">
        <v>11</v>
      </c>
      <c r="C102" s="18" t="n">
        <v>350000</v>
      </c>
    </row>
    <row r="103" customFormat="false" ht="15" hidden="false" customHeight="false" outlineLevel="0" collapsed="false">
      <c r="A103" s="4" t="s">
        <v>211</v>
      </c>
      <c r="B103" s="29" t="n">
        <v>12</v>
      </c>
      <c r="C103" s="18" t="n">
        <v>300000</v>
      </c>
    </row>
    <row r="104" customFormat="false" ht="15" hidden="false" customHeight="false" outlineLevel="0" collapsed="false">
      <c r="A104" s="3" t="s">
        <v>212</v>
      </c>
      <c r="B104" s="4"/>
      <c r="C104" s="30" t="n">
        <f aca="false">SUM(C95:C103)</f>
        <v>5500000</v>
      </c>
    </row>
  </sheetData>
  <mergeCells count="4">
    <mergeCell ref="A5:H5"/>
    <mergeCell ref="A22:H22"/>
    <mergeCell ref="A61:H61"/>
    <mergeCell ref="A64:H64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&amp;C&amp;"Times New Roman"Лист &amp;P из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0" t="s">
        <v>213</v>
      </c>
    </row>
    <row r="2" customFormat="false" ht="15" hidden="false" customHeight="false" outlineLevel="0" collapsed="false">
      <c r="A2" s="2" t="s">
        <v>214</v>
      </c>
    </row>
    <row r="4" customFormat="false" ht="48" hidden="false" customHeight="true" outlineLevel="0" collapsed="false">
      <c r="A4" s="11" t="s">
        <v>215</v>
      </c>
      <c r="B4" s="11" t="s">
        <v>216</v>
      </c>
      <c r="C4" s="11" t="s">
        <v>217</v>
      </c>
      <c r="D4" s="11" t="s">
        <v>218</v>
      </c>
      <c r="E4" s="11" t="s">
        <v>219</v>
      </c>
    </row>
    <row r="5" customFormat="false" ht="25.35" hidden="false" customHeight="false" outlineLevel="0" collapsed="false">
      <c r="A5" s="5" t="s">
        <v>220</v>
      </c>
      <c r="B5" s="14" t="n">
        <v>0.01</v>
      </c>
      <c r="C5" s="31" t="n">
        <v>1</v>
      </c>
      <c r="D5" s="32" t="n">
        <f aca="false">B5*C5</f>
        <v>0.01</v>
      </c>
      <c r="E5" s="5" t="s">
        <v>221</v>
      </c>
    </row>
    <row r="6" customFormat="false" ht="25.35" hidden="false" customHeight="false" outlineLevel="0" collapsed="false">
      <c r="A6" s="5" t="s">
        <v>222</v>
      </c>
      <c r="B6" s="14" t="n">
        <v>0.03</v>
      </c>
      <c r="C6" s="31" t="n">
        <v>0.5</v>
      </c>
      <c r="D6" s="32" t="n">
        <f aca="false">B6*C6</f>
        <v>0.015</v>
      </c>
      <c r="E6" s="5" t="s">
        <v>223</v>
      </c>
    </row>
    <row r="7" customFormat="false" ht="25.35" hidden="false" customHeight="false" outlineLevel="0" collapsed="false">
      <c r="A7" s="5" t="s">
        <v>224</v>
      </c>
      <c r="B7" s="14" t="n">
        <v>0.05</v>
      </c>
      <c r="C7" s="31" t="n">
        <v>0.3</v>
      </c>
      <c r="D7" s="32" t="n">
        <f aca="false">B7*C7</f>
        <v>0.015</v>
      </c>
      <c r="E7" s="5" t="s">
        <v>225</v>
      </c>
    </row>
    <row r="8" customFormat="false" ht="15" hidden="false" customHeight="false" outlineLevel="0" collapsed="false">
      <c r="A8" s="5" t="s">
        <v>226</v>
      </c>
      <c r="B8" s="14" t="n">
        <v>0.08</v>
      </c>
      <c r="C8" s="31" t="n">
        <v>0.1</v>
      </c>
      <c r="D8" s="32" t="n">
        <f aca="false">B8*C8</f>
        <v>0.008</v>
      </c>
      <c r="E8" s="5" t="s">
        <v>227</v>
      </c>
    </row>
    <row r="9" customFormat="false" ht="15" hidden="false" customHeight="false" outlineLevel="0" collapsed="false">
      <c r="A9" s="33" t="s">
        <v>228</v>
      </c>
      <c r="B9" s="34" t="n">
        <f aca="false">SUM(B5:B8)</f>
        <v>0.17</v>
      </c>
      <c r="C9" s="4"/>
      <c r="D9" s="35" t="n">
        <f aca="false">SUM(D5:D8)</f>
        <v>0.048</v>
      </c>
      <c r="E9" s="4" t="s">
        <v>229</v>
      </c>
    </row>
    <row r="10" customFormat="false" ht="25.35" hidden="false" customHeight="false" outlineLevel="0" collapsed="false">
      <c r="A10" s="5" t="s">
        <v>230</v>
      </c>
      <c r="B10" s="18" t="n">
        <v>10</v>
      </c>
      <c r="C10" s="4"/>
      <c r="D10" s="4"/>
      <c r="E10" s="5" t="s">
        <v>231</v>
      </c>
    </row>
    <row r="12" customFormat="false" ht="15" hidden="false" customHeight="false" outlineLevel="0" collapsed="false">
      <c r="A12" s="6" t="s">
        <v>232</v>
      </c>
    </row>
    <row r="13" customFormat="false" ht="15" hidden="false" customHeight="true" outlineLevel="0" collapsed="false">
      <c r="A13" s="11" t="s">
        <v>233</v>
      </c>
      <c r="B13" s="11" t="s">
        <v>3</v>
      </c>
      <c r="C13" s="11"/>
      <c r="D13" s="11"/>
      <c r="E13" s="11"/>
    </row>
    <row r="14" customFormat="false" ht="30" hidden="false" customHeight="true" outlineLevel="0" collapsed="false">
      <c r="A14" s="4" t="s">
        <v>234</v>
      </c>
      <c r="B14" s="5" t="s">
        <v>235</v>
      </c>
      <c r="C14" s="5"/>
      <c r="D14" s="5"/>
      <c r="E14" s="5"/>
    </row>
    <row r="15" customFormat="false" ht="30" hidden="false" customHeight="true" outlineLevel="0" collapsed="false">
      <c r="A15" s="4" t="s">
        <v>236</v>
      </c>
      <c r="B15" s="5" t="s">
        <v>237</v>
      </c>
      <c r="C15" s="5"/>
      <c r="D15" s="5"/>
      <c r="E15" s="5"/>
    </row>
    <row r="16" customFormat="false" ht="30" hidden="false" customHeight="true" outlineLevel="0" collapsed="false">
      <c r="A16" s="4" t="s">
        <v>238</v>
      </c>
      <c r="B16" s="5" t="s">
        <v>239</v>
      </c>
      <c r="C16" s="5"/>
      <c r="D16" s="5"/>
      <c r="E16" s="5"/>
    </row>
    <row r="17" customFormat="false" ht="30" hidden="false" customHeight="true" outlineLevel="0" collapsed="false">
      <c r="A17" s="4" t="s">
        <v>240</v>
      </c>
      <c r="B17" s="5" t="s">
        <v>241</v>
      </c>
      <c r="C17" s="5"/>
      <c r="D17" s="5"/>
      <c r="E17" s="5"/>
    </row>
    <row r="18" customFormat="false" ht="30" hidden="false" customHeight="true" outlineLevel="0" collapsed="false">
      <c r="A18" s="4" t="s">
        <v>242</v>
      </c>
      <c r="B18" s="5" t="s">
        <v>243</v>
      </c>
      <c r="C18" s="5"/>
      <c r="D18" s="5"/>
      <c r="E18" s="5"/>
    </row>
    <row r="19" customFormat="false" ht="30" hidden="false" customHeight="true" outlineLevel="0" collapsed="false">
      <c r="A19" s="4" t="s">
        <v>244</v>
      </c>
      <c r="B19" s="5" t="s">
        <v>245</v>
      </c>
      <c r="C19" s="5"/>
      <c r="D19" s="5"/>
      <c r="E19" s="5"/>
    </row>
    <row r="20" customFormat="false" ht="30" hidden="false" customHeight="true" outlineLevel="0" collapsed="false">
      <c r="A20" s="4" t="s">
        <v>246</v>
      </c>
      <c r="B20" s="5" t="s">
        <v>247</v>
      </c>
      <c r="C20" s="5"/>
      <c r="D20" s="5"/>
      <c r="E20" s="5"/>
    </row>
    <row r="22" customFormat="false" ht="15" hidden="false" customHeight="false" outlineLevel="0" collapsed="false">
      <c r="A22" s="6" t="s">
        <v>248</v>
      </c>
    </row>
    <row r="23" customFormat="false" ht="37.3" hidden="false" customHeight="false" outlineLevel="0" collapsed="false">
      <c r="A23" s="11" t="s">
        <v>249</v>
      </c>
      <c r="B23" s="11" t="s">
        <v>250</v>
      </c>
      <c r="C23" s="11" t="s">
        <v>251</v>
      </c>
    </row>
    <row r="24" customFormat="false" ht="15" hidden="false" customHeight="false" outlineLevel="0" collapsed="false">
      <c r="A24" s="4" t="s">
        <v>18</v>
      </c>
      <c r="B24" s="36" t="n">
        <f aca="false">Сводка!$B$28</f>
        <v>23946263.8127863</v>
      </c>
      <c r="C24" s="13" t="n">
        <f aca="false">B24/(SUM(Пессимистичный!$W$6:$W$65)+B24)</f>
        <v>0.0424244004866591</v>
      </c>
    </row>
    <row r="25" customFormat="false" ht="15" hidden="false" customHeight="false" outlineLevel="0" collapsed="false">
      <c r="A25" s="4" t="s">
        <v>20</v>
      </c>
      <c r="B25" s="36" t="n">
        <f aca="false">Сводка!$C$28</f>
        <v>46773206.622299</v>
      </c>
      <c r="C25" s="13" t="n">
        <f aca="false">B25/(SUM(Базовый!$W$6:$W$65)+B25)</f>
        <v>0.0408560963913188</v>
      </c>
    </row>
    <row r="26" customFormat="false" ht="15" hidden="false" customHeight="false" outlineLevel="0" collapsed="false">
      <c r="A26" s="4" t="s">
        <v>21</v>
      </c>
      <c r="B26" s="36" t="n">
        <f aca="false">Сводка!$D$28</f>
        <v>77956259.3963815</v>
      </c>
      <c r="C26" s="13" t="n">
        <f aca="false">B26/(SUM(Оптимистичный!$W$6:$W$65)+B26)</f>
        <v>0.0399968130782192</v>
      </c>
    </row>
    <row r="27" customFormat="false" ht="15" hidden="false" customHeight="false" outlineLevel="0" collapsed="false">
      <c r="A27" s="4" t="s">
        <v>22</v>
      </c>
      <c r="B27" s="36" t="n">
        <f aca="false">Сводка!$E$28</f>
        <v>38890081.9106756</v>
      </c>
      <c r="C27" s="13" t="n">
        <f aca="false">B27/(SUM('Версия 1'!$W$6:$W$65)+B27)</f>
        <v>0.0409321260149535</v>
      </c>
    </row>
  </sheetData>
  <mergeCells count="8">
    <mergeCell ref="B13:E13"/>
    <mergeCell ref="B14:E14"/>
    <mergeCell ref="B15:E15"/>
    <mergeCell ref="B16:E16"/>
    <mergeCell ref="B17:E17"/>
    <mergeCell ref="B18:E18"/>
    <mergeCell ref="B19:E19"/>
    <mergeCell ref="B20:E20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&amp;C&amp;"Times New Roman"Лист &amp;P из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0" t="s">
        <v>252</v>
      </c>
    </row>
    <row r="2" customFormat="false" ht="15" hidden="false" customHeight="false" outlineLevel="0" collapsed="false">
      <c r="A2" s="2" t="s">
        <v>253</v>
      </c>
    </row>
    <row r="4" customFormat="false" ht="31.5" hidden="false" customHeight="true" outlineLevel="0" collapsed="false">
      <c r="A4" s="11" t="s">
        <v>254</v>
      </c>
      <c r="B4" s="11" t="s">
        <v>255</v>
      </c>
      <c r="C4" s="11" t="s">
        <v>256</v>
      </c>
      <c r="D4" s="11" t="s">
        <v>257</v>
      </c>
      <c r="E4" s="11" t="s">
        <v>258</v>
      </c>
    </row>
    <row r="5" customFormat="false" ht="15" hidden="false" customHeight="false" outlineLevel="0" collapsed="false">
      <c r="A5" s="4" t="s">
        <v>20</v>
      </c>
      <c r="B5" s="5" t="s">
        <v>259</v>
      </c>
      <c r="C5" s="37" t="n">
        <v>1</v>
      </c>
      <c r="D5" s="18" t="n">
        <v>12</v>
      </c>
      <c r="E5" s="25" t="n">
        <f aca="false">C5*D5</f>
        <v>12</v>
      </c>
    </row>
    <row r="6" customFormat="false" ht="15" hidden="false" customHeight="false" outlineLevel="0" collapsed="false">
      <c r="A6" s="4" t="s">
        <v>20</v>
      </c>
      <c r="B6" s="5" t="s">
        <v>260</v>
      </c>
      <c r="C6" s="37" t="n">
        <v>0.8</v>
      </c>
      <c r="D6" s="18" t="n">
        <v>10</v>
      </c>
      <c r="E6" s="25" t="n">
        <f aca="false">C6*D6</f>
        <v>8</v>
      </c>
    </row>
    <row r="7" customFormat="false" ht="15" hidden="false" customHeight="false" outlineLevel="0" collapsed="false">
      <c r="A7" s="4" t="s">
        <v>20</v>
      </c>
      <c r="B7" s="5" t="s">
        <v>261</v>
      </c>
      <c r="C7" s="37" t="n">
        <v>1.2</v>
      </c>
      <c r="D7" s="18" t="n">
        <v>15</v>
      </c>
      <c r="E7" s="25" t="n">
        <f aca="false">C7*D7</f>
        <v>18</v>
      </c>
    </row>
    <row r="8" customFormat="false" ht="15" hidden="false" customHeight="false" outlineLevel="0" collapsed="false">
      <c r="A8" s="4" t="s">
        <v>20</v>
      </c>
      <c r="B8" s="5" t="s">
        <v>262</v>
      </c>
      <c r="C8" s="37" t="n">
        <v>1.2</v>
      </c>
      <c r="D8" s="18" t="n">
        <v>3</v>
      </c>
      <c r="E8" s="25" t="n">
        <f aca="false">C8*D8</f>
        <v>3.6</v>
      </c>
    </row>
    <row r="9" customFormat="false" ht="15" hidden="false" customHeight="false" outlineLevel="0" collapsed="false">
      <c r="A9" s="4" t="s">
        <v>20</v>
      </c>
      <c r="B9" s="5" t="s">
        <v>263</v>
      </c>
      <c r="C9" s="37" t="n">
        <v>1</v>
      </c>
      <c r="D9" s="18" t="n">
        <v>5</v>
      </c>
      <c r="E9" s="25" t="n">
        <f aca="false">C9*D9</f>
        <v>5</v>
      </c>
    </row>
    <row r="10" customFormat="false" ht="15" hidden="false" customHeight="false" outlineLevel="0" collapsed="false">
      <c r="A10" s="4" t="s">
        <v>20</v>
      </c>
      <c r="B10" s="5" t="s">
        <v>264</v>
      </c>
      <c r="C10" s="38" t="n">
        <f aca="false">'Льготы ветеранам'!$B$9</f>
        <v>0.17</v>
      </c>
      <c r="D10" s="36" t="n">
        <f aca="false">'Льготы ветеранам'!$B$10</f>
        <v>10</v>
      </c>
      <c r="E10" s="25" t="n">
        <f aca="false">C10*D10</f>
        <v>1.7</v>
      </c>
    </row>
    <row r="11" customFormat="false" ht="15" hidden="false" customHeight="false" outlineLevel="0" collapsed="false">
      <c r="A11" s="3" t="s">
        <v>265</v>
      </c>
      <c r="B11" s="4"/>
      <c r="C11" s="4"/>
      <c r="D11" s="4"/>
      <c r="E11" s="39" t="n">
        <f aca="false">SUM(E5:E10)</f>
        <v>48.3</v>
      </c>
    </row>
    <row r="12" customFormat="false" ht="15" hidden="false" customHeight="false" outlineLevel="0" collapsed="false">
      <c r="A12" s="4" t="s">
        <v>266</v>
      </c>
      <c r="B12" s="5" t="s">
        <v>267</v>
      </c>
      <c r="C12" s="37" t="n">
        <v>4.3</v>
      </c>
      <c r="D12" s="18" t="n">
        <v>12</v>
      </c>
      <c r="E12" s="25" t="n">
        <f aca="false">C12*D12</f>
        <v>51.6</v>
      </c>
    </row>
    <row r="13" customFormat="false" ht="15" hidden="false" customHeight="false" outlineLevel="0" collapsed="false">
      <c r="A13" s="4" t="s">
        <v>266</v>
      </c>
      <c r="B13" s="5" t="s">
        <v>260</v>
      </c>
      <c r="C13" s="37" t="n">
        <v>1.2</v>
      </c>
      <c r="D13" s="18" t="n">
        <v>10</v>
      </c>
      <c r="E13" s="25" t="n">
        <f aca="false">C13*D13</f>
        <v>12</v>
      </c>
    </row>
    <row r="14" customFormat="false" ht="15" hidden="false" customHeight="false" outlineLevel="0" collapsed="false">
      <c r="A14" s="4" t="s">
        <v>266</v>
      </c>
      <c r="B14" s="5" t="s">
        <v>268</v>
      </c>
      <c r="C14" s="37" t="n">
        <v>2.5</v>
      </c>
      <c r="D14" s="18" t="n">
        <v>15</v>
      </c>
      <c r="E14" s="25" t="n">
        <f aca="false">C14*D14</f>
        <v>37.5</v>
      </c>
    </row>
    <row r="15" customFormat="false" ht="15" hidden="false" customHeight="false" outlineLevel="0" collapsed="false">
      <c r="A15" s="4" t="s">
        <v>266</v>
      </c>
      <c r="B15" s="5" t="s">
        <v>269</v>
      </c>
      <c r="C15" s="37" t="n">
        <v>2.5</v>
      </c>
      <c r="D15" s="18" t="n">
        <v>3</v>
      </c>
      <c r="E15" s="25" t="n">
        <f aca="false">C15*D15</f>
        <v>7.5</v>
      </c>
    </row>
    <row r="16" customFormat="false" ht="15" hidden="false" customHeight="false" outlineLevel="0" collapsed="false">
      <c r="A16" s="4" t="s">
        <v>266</v>
      </c>
      <c r="B16" s="5" t="s">
        <v>263</v>
      </c>
      <c r="C16" s="37" t="n">
        <v>1</v>
      </c>
      <c r="D16" s="18" t="n">
        <v>10</v>
      </c>
      <c r="E16" s="25" t="n">
        <f aca="false">C16*D16</f>
        <v>10</v>
      </c>
    </row>
    <row r="17" customFormat="false" ht="15" hidden="false" customHeight="false" outlineLevel="0" collapsed="false">
      <c r="A17" s="4" t="s">
        <v>266</v>
      </c>
      <c r="B17" s="5" t="s">
        <v>264</v>
      </c>
      <c r="C17" s="38" t="n">
        <f aca="false">'Льготы ветеранам'!$B$9</f>
        <v>0.17</v>
      </c>
      <c r="D17" s="36" t="n">
        <f aca="false">'Льготы ветеранам'!$B$10</f>
        <v>10</v>
      </c>
      <c r="E17" s="25" t="n">
        <f aca="false">C17*D17</f>
        <v>1.7</v>
      </c>
    </row>
    <row r="18" customFormat="false" ht="15" hidden="false" customHeight="false" outlineLevel="0" collapsed="false">
      <c r="A18" s="3" t="s">
        <v>270</v>
      </c>
      <c r="B18" s="4"/>
      <c r="C18" s="4"/>
      <c r="D18" s="4"/>
      <c r="E18" s="39" t="n">
        <f aca="false">SUM(E12:E17)</f>
        <v>120.3</v>
      </c>
    </row>
  </sheetData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&amp;C&amp;"Times New Roman"Лист &amp;P из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0" t="s">
        <v>271</v>
      </c>
    </row>
    <row r="2" customFormat="false" ht="15" hidden="false" customHeight="false" outlineLevel="0" collapsed="false">
      <c r="A2" s="2" t="s">
        <v>272</v>
      </c>
    </row>
    <row r="4" customFormat="false" ht="31.5" hidden="false" customHeight="true" outlineLevel="0" collapsed="false">
      <c r="A4" s="11" t="s">
        <v>215</v>
      </c>
      <c r="B4" s="11" t="s">
        <v>273</v>
      </c>
      <c r="C4" s="11" t="s">
        <v>274</v>
      </c>
      <c r="D4" s="11" t="s">
        <v>275</v>
      </c>
      <c r="E4" s="11" t="s">
        <v>276</v>
      </c>
      <c r="F4" s="11" t="s">
        <v>277</v>
      </c>
      <c r="G4" s="11" t="s">
        <v>278</v>
      </c>
      <c r="H4" s="11" t="s">
        <v>43</v>
      </c>
      <c r="I4" s="11" t="s">
        <v>195</v>
      </c>
    </row>
    <row r="5" customFormat="false" ht="15" hidden="false" customHeight="false" outlineLevel="0" collapsed="false">
      <c r="A5" s="5" t="s">
        <v>279</v>
      </c>
      <c r="B5" s="5" t="s">
        <v>196</v>
      </c>
      <c r="C5" s="18" t="n">
        <v>1</v>
      </c>
      <c r="D5" s="18" t="n">
        <v>230000</v>
      </c>
      <c r="E5" s="18" t="n">
        <v>3</v>
      </c>
      <c r="F5" s="40" t="s">
        <v>280</v>
      </c>
      <c r="G5" s="17" t="n">
        <f aca="false">ROUND(C5*D5*E5*IF(F5="да",Допущения!$D$9,1),0)</f>
        <v>898380</v>
      </c>
      <c r="H5" s="12" t="s">
        <v>56</v>
      </c>
      <c r="I5" s="5" t="s">
        <v>281</v>
      </c>
    </row>
    <row r="6" customFormat="false" ht="15" hidden="false" customHeight="false" outlineLevel="0" collapsed="false">
      <c r="A6" s="5" t="s">
        <v>279</v>
      </c>
      <c r="B6" s="5" t="s">
        <v>282</v>
      </c>
      <c r="C6" s="20" t="n">
        <v>0.3</v>
      </c>
      <c r="D6" s="18" t="n">
        <v>170000</v>
      </c>
      <c r="E6" s="18" t="n">
        <v>3</v>
      </c>
      <c r="F6" s="40" t="s">
        <v>280</v>
      </c>
      <c r="G6" s="17" t="n">
        <f aca="false">ROUND(C6*D6*E6*IF(F6="да",Допущения!$D$9,1),0)</f>
        <v>199206</v>
      </c>
      <c r="H6" s="12" t="s">
        <v>56</v>
      </c>
      <c r="I6" s="5" t="s">
        <v>283</v>
      </c>
    </row>
    <row r="7" customFormat="false" ht="15" hidden="false" customHeight="false" outlineLevel="0" collapsed="false">
      <c r="A7" s="5" t="s">
        <v>279</v>
      </c>
      <c r="B7" s="5" t="s">
        <v>284</v>
      </c>
      <c r="C7" s="20" t="n">
        <v>0.4</v>
      </c>
      <c r="D7" s="18" t="n">
        <v>260000</v>
      </c>
      <c r="E7" s="18" t="n">
        <v>3</v>
      </c>
      <c r="F7" s="40" t="s">
        <v>280</v>
      </c>
      <c r="G7" s="17" t="n">
        <f aca="false">ROUND(C7*D7*E7*IF(F7="да",Допущения!$D$9,1),0)</f>
        <v>406224</v>
      </c>
      <c r="H7" s="12" t="s">
        <v>56</v>
      </c>
      <c r="I7" s="5" t="s">
        <v>285</v>
      </c>
    </row>
    <row r="8" customFormat="false" ht="25.35" hidden="false" customHeight="false" outlineLevel="0" collapsed="false">
      <c r="A8" s="5" t="s">
        <v>279</v>
      </c>
      <c r="B8" s="5" t="s">
        <v>286</v>
      </c>
      <c r="C8" s="18" t="n">
        <v>3</v>
      </c>
      <c r="D8" s="18" t="n">
        <v>70000</v>
      </c>
      <c r="E8" s="37" t="n">
        <v>2.5</v>
      </c>
      <c r="F8" s="40" t="s">
        <v>280</v>
      </c>
      <c r="G8" s="17" t="n">
        <f aca="false">ROUND(C8*D8*E8*IF(F8="да",Допущения!$D$9,1),0)</f>
        <v>683550</v>
      </c>
      <c r="H8" s="12" t="s">
        <v>56</v>
      </c>
      <c r="I8" s="5" t="s">
        <v>287</v>
      </c>
    </row>
    <row r="9" customFormat="false" ht="15" hidden="false" customHeight="false" outlineLevel="0" collapsed="false">
      <c r="A9" s="5" t="s">
        <v>279</v>
      </c>
      <c r="B9" s="5" t="s">
        <v>288</v>
      </c>
      <c r="C9" s="20" t="n">
        <v>0.25</v>
      </c>
      <c r="D9" s="18" t="n">
        <v>220000</v>
      </c>
      <c r="E9" s="18" t="n">
        <v>3</v>
      </c>
      <c r="F9" s="40" t="s">
        <v>280</v>
      </c>
      <c r="G9" s="17" t="n">
        <f aca="false">ROUND(C9*D9*E9*IF(F9="да",Допущения!$D$9,1),0)</f>
        <v>214830</v>
      </c>
      <c r="H9" s="12" t="s">
        <v>56</v>
      </c>
      <c r="I9" s="5" t="s">
        <v>289</v>
      </c>
    </row>
    <row r="10" customFormat="false" ht="15" hidden="false" customHeight="false" outlineLevel="0" collapsed="false">
      <c r="A10" s="5" t="s">
        <v>279</v>
      </c>
      <c r="B10" s="5" t="s">
        <v>290</v>
      </c>
      <c r="C10" s="20" t="n">
        <v>0.2</v>
      </c>
      <c r="D10" s="18" t="n">
        <v>240000</v>
      </c>
      <c r="E10" s="18" t="n">
        <v>2</v>
      </c>
      <c r="F10" s="40" t="s">
        <v>280</v>
      </c>
      <c r="G10" s="17" t="n">
        <f aca="false">ROUND(C10*D10*E10*IF(F10="да",Допущения!$D$9,1),0)</f>
        <v>124992</v>
      </c>
      <c r="H10" s="12" t="s">
        <v>56</v>
      </c>
      <c r="I10" s="5" t="s">
        <v>291</v>
      </c>
    </row>
    <row r="11" customFormat="false" ht="15" hidden="false" customHeight="false" outlineLevel="0" collapsed="false">
      <c r="A11" s="5" t="s">
        <v>279</v>
      </c>
      <c r="B11" s="5" t="s">
        <v>202</v>
      </c>
      <c r="C11" s="20" t="n">
        <v>0.2</v>
      </c>
      <c r="D11" s="18" t="n">
        <v>200000</v>
      </c>
      <c r="E11" s="18" t="n">
        <v>2</v>
      </c>
      <c r="F11" s="40" t="s">
        <v>280</v>
      </c>
      <c r="G11" s="17" t="n">
        <f aca="false">ROUND(C11*D11*E11*IF(F11="да",Допущения!$D$9,1),0)</f>
        <v>104160</v>
      </c>
      <c r="H11" s="12" t="s">
        <v>56</v>
      </c>
      <c r="I11" s="5" t="s">
        <v>292</v>
      </c>
    </row>
    <row r="12" customFormat="false" ht="15" hidden="false" customHeight="false" outlineLevel="0" collapsed="false">
      <c r="A12" s="5" t="s">
        <v>293</v>
      </c>
      <c r="B12" s="5" t="s">
        <v>294</v>
      </c>
      <c r="C12" s="18" t="n">
        <v>3</v>
      </c>
      <c r="D12" s="18" t="n">
        <v>35000</v>
      </c>
      <c r="E12" s="18" t="n">
        <v>1</v>
      </c>
      <c r="F12" s="40" t="s">
        <v>295</v>
      </c>
      <c r="G12" s="17" t="n">
        <f aca="false">ROUND(C12*D12*E12*IF(F12="да",Допущения!$D$9,1),0)</f>
        <v>105000</v>
      </c>
      <c r="H12" s="12" t="s">
        <v>56</v>
      </c>
      <c r="I12" s="5" t="s">
        <v>296</v>
      </c>
    </row>
    <row r="13" customFormat="false" ht="15" hidden="false" customHeight="false" outlineLevel="0" collapsed="false">
      <c r="A13" s="5" t="s">
        <v>293</v>
      </c>
      <c r="B13" s="5" t="s">
        <v>297</v>
      </c>
      <c r="C13" s="18" t="n">
        <v>1</v>
      </c>
      <c r="D13" s="18" t="n">
        <v>60000</v>
      </c>
      <c r="E13" s="18" t="n">
        <v>1</v>
      </c>
      <c r="F13" s="40" t="s">
        <v>295</v>
      </c>
      <c r="G13" s="17" t="n">
        <f aca="false">ROUND(C13*D13*E13*IF(F13="да",Допущения!$D$9,1),0)</f>
        <v>60000</v>
      </c>
      <c r="H13" s="12" t="s">
        <v>56</v>
      </c>
      <c r="I13" s="5" t="s">
        <v>298</v>
      </c>
    </row>
    <row r="14" customFormat="false" ht="15" hidden="false" customHeight="false" outlineLevel="0" collapsed="false">
      <c r="A14" s="5" t="s">
        <v>293</v>
      </c>
      <c r="B14" s="5" t="s">
        <v>299</v>
      </c>
      <c r="C14" s="18" t="n">
        <v>4</v>
      </c>
      <c r="D14" s="18" t="n">
        <v>8000</v>
      </c>
      <c r="E14" s="18" t="n">
        <v>1</v>
      </c>
      <c r="F14" s="40" t="s">
        <v>295</v>
      </c>
      <c r="G14" s="17" t="n">
        <f aca="false">ROUND(C14*D14*E14*IF(F14="да",Допущения!$D$9,1),0)</f>
        <v>32000</v>
      </c>
      <c r="H14" s="12" t="s">
        <v>56</v>
      </c>
      <c r="I14" s="5" t="s">
        <v>300</v>
      </c>
    </row>
    <row r="15" customFormat="false" ht="25.35" hidden="false" customHeight="false" outlineLevel="0" collapsed="false">
      <c r="A15" s="5" t="s">
        <v>293</v>
      </c>
      <c r="B15" s="5" t="s">
        <v>301</v>
      </c>
      <c r="C15" s="18" t="n">
        <v>3</v>
      </c>
      <c r="D15" s="18" t="n">
        <v>15000</v>
      </c>
      <c r="E15" s="18" t="n">
        <v>1</v>
      </c>
      <c r="F15" s="40" t="s">
        <v>295</v>
      </c>
      <c r="G15" s="17" t="n">
        <f aca="false">ROUND(C15*D15*E15*IF(F15="да",Допущения!$D$9,1),0)</f>
        <v>45000</v>
      </c>
      <c r="H15" s="12" t="s">
        <v>56</v>
      </c>
      <c r="I15" s="5" t="s">
        <v>302</v>
      </c>
    </row>
    <row r="16" customFormat="false" ht="25.35" hidden="false" customHeight="false" outlineLevel="0" collapsed="false">
      <c r="A16" s="5" t="s">
        <v>303</v>
      </c>
      <c r="B16" s="5" t="s">
        <v>304</v>
      </c>
      <c r="C16" s="18" t="n">
        <v>1</v>
      </c>
      <c r="D16" s="18" t="n">
        <v>200000</v>
      </c>
      <c r="E16" s="18" t="n">
        <v>1</v>
      </c>
      <c r="F16" s="40" t="s">
        <v>295</v>
      </c>
      <c r="G16" s="17" t="n">
        <f aca="false">ROUND(C16*D16*E16*IF(F16="да",Допущения!$D$9,1),0)</f>
        <v>200000</v>
      </c>
      <c r="H16" s="12" t="s">
        <v>56</v>
      </c>
      <c r="I16" s="5" t="s">
        <v>305</v>
      </c>
    </row>
    <row r="17" customFormat="false" ht="25.35" hidden="false" customHeight="false" outlineLevel="0" collapsed="false">
      <c r="A17" s="5" t="s">
        <v>306</v>
      </c>
      <c r="B17" s="5" t="s">
        <v>307</v>
      </c>
      <c r="C17" s="18" t="n">
        <v>1</v>
      </c>
      <c r="D17" s="18" t="n">
        <v>12000</v>
      </c>
      <c r="E17" s="18" t="n">
        <v>3</v>
      </c>
      <c r="F17" s="40" t="s">
        <v>295</v>
      </c>
      <c r="G17" s="17" t="n">
        <f aca="false">ROUND(C17*D17*E17*IF(F17="да",Допущения!$D$9,1),0)</f>
        <v>36000</v>
      </c>
      <c r="H17" s="12" t="s">
        <v>56</v>
      </c>
      <c r="I17" s="5" t="s">
        <v>308</v>
      </c>
    </row>
    <row r="18" customFormat="false" ht="15" hidden="false" customHeight="false" outlineLevel="0" collapsed="false">
      <c r="A18" s="5" t="s">
        <v>306</v>
      </c>
      <c r="B18" s="5" t="s">
        <v>309</v>
      </c>
      <c r="C18" s="18" t="n">
        <v>6</v>
      </c>
      <c r="D18" s="18" t="n">
        <v>1500</v>
      </c>
      <c r="E18" s="18" t="n">
        <v>3</v>
      </c>
      <c r="F18" s="40" t="s">
        <v>295</v>
      </c>
      <c r="G18" s="17" t="n">
        <f aca="false">ROUND(C18*D18*E18*IF(F18="да",Допущения!$D$9,1),0)</f>
        <v>27000</v>
      </c>
      <c r="H18" s="12" t="s">
        <v>56</v>
      </c>
      <c r="I18" s="5" t="s">
        <v>310</v>
      </c>
    </row>
    <row r="19" customFormat="false" ht="15" hidden="false" customHeight="false" outlineLevel="0" collapsed="false">
      <c r="A19" s="5" t="s">
        <v>306</v>
      </c>
      <c r="B19" s="5" t="s">
        <v>311</v>
      </c>
      <c r="C19" s="18" t="n">
        <v>4</v>
      </c>
      <c r="D19" s="18" t="n">
        <v>1200</v>
      </c>
      <c r="E19" s="18" t="n">
        <v>3</v>
      </c>
      <c r="F19" s="40" t="s">
        <v>295</v>
      </c>
      <c r="G19" s="17" t="n">
        <f aca="false">ROUND(C19*D19*E19*IF(F19="да",Допущения!$D$9,1),0)</f>
        <v>14400</v>
      </c>
      <c r="H19" s="12" t="s">
        <v>56</v>
      </c>
      <c r="I19" s="5" t="s">
        <v>312</v>
      </c>
    </row>
    <row r="20" customFormat="false" ht="25.35" hidden="false" customHeight="false" outlineLevel="0" collapsed="false">
      <c r="A20" s="5" t="s">
        <v>306</v>
      </c>
      <c r="B20" s="5" t="s">
        <v>313</v>
      </c>
      <c r="C20" s="18" t="n">
        <v>1</v>
      </c>
      <c r="D20" s="18" t="n">
        <v>150000</v>
      </c>
      <c r="E20" s="18" t="n">
        <v>1</v>
      </c>
      <c r="F20" s="40" t="s">
        <v>295</v>
      </c>
      <c r="G20" s="17" t="n">
        <f aca="false">ROUND(C20*D20*E20*IF(F20="да",Допущения!$D$9,1),0)</f>
        <v>150000</v>
      </c>
      <c r="H20" s="12" t="s">
        <v>56</v>
      </c>
      <c r="I20" s="5" t="s">
        <v>314</v>
      </c>
    </row>
    <row r="21" customFormat="false" ht="25.35" hidden="false" customHeight="false" outlineLevel="0" collapsed="false">
      <c r="A21" s="5" t="s">
        <v>306</v>
      </c>
      <c r="B21" s="5" t="s">
        <v>315</v>
      </c>
      <c r="C21" s="18" t="n">
        <v>1</v>
      </c>
      <c r="D21" s="18" t="n">
        <v>30000</v>
      </c>
      <c r="E21" s="18" t="n">
        <v>3</v>
      </c>
      <c r="F21" s="40" t="s">
        <v>295</v>
      </c>
      <c r="G21" s="17" t="n">
        <f aca="false">ROUND(C21*D21*E21*IF(F21="да",Допущения!$D$9,1),0)</f>
        <v>90000</v>
      </c>
      <c r="H21" s="12" t="s">
        <v>56</v>
      </c>
      <c r="I21" s="5" t="s">
        <v>316</v>
      </c>
    </row>
    <row r="22" customFormat="false" ht="15" hidden="false" customHeight="false" outlineLevel="0" collapsed="false">
      <c r="A22" s="5" t="s">
        <v>306</v>
      </c>
      <c r="B22" s="5" t="s">
        <v>317</v>
      </c>
      <c r="C22" s="18" t="n">
        <v>1</v>
      </c>
      <c r="D22" s="18" t="n">
        <v>350000</v>
      </c>
      <c r="E22" s="18" t="n">
        <v>1</v>
      </c>
      <c r="F22" s="40" t="s">
        <v>295</v>
      </c>
      <c r="G22" s="17" t="n">
        <f aca="false">ROUND(C22*D22*E22*IF(F22="да",Допущения!$D$9,1),0)</f>
        <v>350000</v>
      </c>
      <c r="H22" s="12" t="s">
        <v>56</v>
      </c>
      <c r="I22" s="5" t="s">
        <v>318</v>
      </c>
    </row>
    <row r="23" customFormat="false" ht="15" hidden="false" customHeight="false" outlineLevel="0" collapsed="false">
      <c r="A23" s="5" t="s">
        <v>319</v>
      </c>
      <c r="B23" s="5" t="s">
        <v>320</v>
      </c>
      <c r="C23" s="18" t="n">
        <v>200</v>
      </c>
      <c r="D23" s="18" t="n">
        <v>75</v>
      </c>
      <c r="E23" s="18" t="n">
        <v>1</v>
      </c>
      <c r="F23" s="40" t="s">
        <v>295</v>
      </c>
      <c r="G23" s="17" t="n">
        <f aca="false">ROUND(C23*D23*E23*IF(F23="да",Допущения!$D$9,1),0)</f>
        <v>15000</v>
      </c>
      <c r="H23" s="12" t="s">
        <v>56</v>
      </c>
      <c r="I23" s="5" t="s">
        <v>321</v>
      </c>
    </row>
    <row r="24" customFormat="false" ht="15" hidden="false" customHeight="false" outlineLevel="0" collapsed="false">
      <c r="A24" s="5" t="s">
        <v>319</v>
      </c>
      <c r="B24" s="5" t="s">
        <v>322</v>
      </c>
      <c r="C24" s="18" t="n">
        <v>200</v>
      </c>
      <c r="D24" s="18" t="n">
        <v>60</v>
      </c>
      <c r="E24" s="18" t="n">
        <v>1</v>
      </c>
      <c r="F24" s="40" t="s">
        <v>295</v>
      </c>
      <c r="G24" s="17" t="n">
        <f aca="false">ROUND(C24*D24*E24*IF(F24="да",Допущения!$D$9,1),0)</f>
        <v>12000</v>
      </c>
      <c r="H24" s="12" t="s">
        <v>56</v>
      </c>
      <c r="I24" s="5" t="s">
        <v>323</v>
      </c>
    </row>
    <row r="25" customFormat="false" ht="15" hidden="false" customHeight="false" outlineLevel="0" collapsed="false">
      <c r="A25" s="5" t="s">
        <v>319</v>
      </c>
      <c r="B25" s="5" t="s">
        <v>324</v>
      </c>
      <c r="C25" s="18" t="n">
        <v>200</v>
      </c>
      <c r="D25" s="18" t="n">
        <v>30</v>
      </c>
      <c r="E25" s="18" t="n">
        <v>1</v>
      </c>
      <c r="F25" s="40" t="s">
        <v>295</v>
      </c>
      <c r="G25" s="17" t="n">
        <f aca="false">ROUND(C25*D25*E25*IF(F25="да",Допущения!$D$9,1),0)</f>
        <v>6000</v>
      </c>
      <c r="H25" s="12" t="s">
        <v>56</v>
      </c>
      <c r="I25" s="5" t="s">
        <v>325</v>
      </c>
    </row>
    <row r="26" customFormat="false" ht="15" hidden="false" customHeight="false" outlineLevel="0" collapsed="false">
      <c r="A26" s="5" t="s">
        <v>319</v>
      </c>
      <c r="B26" s="5" t="s">
        <v>326</v>
      </c>
      <c r="C26" s="18" t="n">
        <v>200</v>
      </c>
      <c r="D26" s="18" t="n">
        <v>320</v>
      </c>
      <c r="E26" s="18" t="n">
        <v>1</v>
      </c>
      <c r="F26" s="40" t="s">
        <v>295</v>
      </c>
      <c r="G26" s="17" t="n">
        <f aca="false">ROUND(C26*D26*E26*IF(F26="да",Допущения!$D$9,1),0)</f>
        <v>64000</v>
      </c>
      <c r="H26" s="12" t="s">
        <v>56</v>
      </c>
      <c r="I26" s="5" t="s">
        <v>327</v>
      </c>
    </row>
    <row r="27" customFormat="false" ht="25.35" hidden="false" customHeight="false" outlineLevel="0" collapsed="false">
      <c r="A27" s="5" t="s">
        <v>328</v>
      </c>
      <c r="B27" s="5" t="s">
        <v>329</v>
      </c>
      <c r="C27" s="18" t="n">
        <v>1</v>
      </c>
      <c r="D27" s="18" t="n">
        <v>120000</v>
      </c>
      <c r="E27" s="18" t="n">
        <v>1</v>
      </c>
      <c r="F27" s="40" t="s">
        <v>295</v>
      </c>
      <c r="G27" s="17" t="n">
        <f aca="false">ROUND(C27*D27*E27*IF(F27="да",Допущения!$D$9,1),0)</f>
        <v>120000</v>
      </c>
      <c r="H27" s="12" t="s">
        <v>56</v>
      </c>
      <c r="I27" s="5" t="s">
        <v>330</v>
      </c>
    </row>
    <row r="28" customFormat="false" ht="25.35" hidden="false" customHeight="false" outlineLevel="0" collapsed="false">
      <c r="A28" s="5" t="s">
        <v>328</v>
      </c>
      <c r="B28" s="5" t="s">
        <v>331</v>
      </c>
      <c r="C28" s="18" t="n">
        <v>1</v>
      </c>
      <c r="D28" s="18" t="n">
        <v>100000</v>
      </c>
      <c r="E28" s="18" t="n">
        <v>1</v>
      </c>
      <c r="F28" s="40" t="s">
        <v>295</v>
      </c>
      <c r="G28" s="17" t="n">
        <f aca="false">ROUND(C28*D28*E28*IF(F28="да",Допущения!$D$9,1),0)</f>
        <v>100000</v>
      </c>
      <c r="H28" s="12" t="s">
        <v>56</v>
      </c>
      <c r="I28" s="5" t="s">
        <v>332</v>
      </c>
    </row>
    <row r="29" customFormat="false" ht="25.35" hidden="false" customHeight="false" outlineLevel="0" collapsed="false">
      <c r="A29" s="5" t="s">
        <v>328</v>
      </c>
      <c r="B29" s="5" t="s">
        <v>333</v>
      </c>
      <c r="C29" s="18" t="n">
        <v>1</v>
      </c>
      <c r="D29" s="18" t="n">
        <v>80000</v>
      </c>
      <c r="E29" s="18" t="n">
        <v>1</v>
      </c>
      <c r="F29" s="40" t="s">
        <v>295</v>
      </c>
      <c r="G29" s="17" t="n">
        <f aca="false">ROUND(C29*D29*E29*IF(F29="да",Допущения!$D$9,1),0)</f>
        <v>80000</v>
      </c>
      <c r="H29" s="12" t="s">
        <v>56</v>
      </c>
      <c r="I29" s="5" t="s">
        <v>334</v>
      </c>
    </row>
    <row r="30" customFormat="false" ht="25.35" hidden="false" customHeight="false" outlineLevel="0" collapsed="false">
      <c r="A30" s="5" t="s">
        <v>328</v>
      </c>
      <c r="B30" s="5" t="s">
        <v>335</v>
      </c>
      <c r="C30" s="18" t="n">
        <v>20</v>
      </c>
      <c r="D30" s="18" t="n">
        <v>1500</v>
      </c>
      <c r="E30" s="18" t="n">
        <v>1</v>
      </c>
      <c r="F30" s="40" t="s">
        <v>295</v>
      </c>
      <c r="G30" s="17" t="n">
        <f aca="false">ROUND(C30*D30*E30*IF(F30="да",Допущения!$D$9,1),0)</f>
        <v>30000</v>
      </c>
      <c r="H30" s="12" t="s">
        <v>56</v>
      </c>
      <c r="I30" s="5" t="s">
        <v>336</v>
      </c>
    </row>
    <row r="31" customFormat="false" ht="15" hidden="false" customHeight="false" outlineLevel="0" collapsed="false">
      <c r="A31" s="4" t="s">
        <v>337</v>
      </c>
      <c r="B31" s="4" t="s">
        <v>338</v>
      </c>
      <c r="C31" s="4"/>
      <c r="D31" s="4"/>
      <c r="E31" s="4"/>
      <c r="F31" s="4"/>
      <c r="G31" s="17" t="n">
        <f aca="false">ROUND(SUMIF(F5:F30,"да",G5:G30)*Допущения!$D$14,0)</f>
        <v>263134</v>
      </c>
      <c r="H31" s="12" t="s">
        <v>56</v>
      </c>
      <c r="I31" s="4" t="s">
        <v>339</v>
      </c>
    </row>
    <row r="32" customFormat="false" ht="15" hidden="false" customHeight="false" outlineLevel="0" collapsed="false">
      <c r="A32" s="4" t="s">
        <v>340</v>
      </c>
      <c r="B32" s="4" t="s">
        <v>85</v>
      </c>
      <c r="C32" s="4"/>
      <c r="D32" s="4"/>
      <c r="E32" s="4"/>
      <c r="F32" s="4"/>
      <c r="G32" s="17" t="n">
        <f aca="false">ROUND((SUM(G5:G30)+G31)*Допущения!$D$21,0)</f>
        <v>443088</v>
      </c>
      <c r="H32" s="12" t="s">
        <v>56</v>
      </c>
      <c r="I32" s="4" t="s">
        <v>85</v>
      </c>
    </row>
    <row r="33" customFormat="false" ht="15" hidden="false" customHeight="false" outlineLevel="0" collapsed="false">
      <c r="A33" s="3" t="s">
        <v>341</v>
      </c>
      <c r="B33" s="4"/>
      <c r="C33" s="4"/>
      <c r="D33" s="4"/>
      <c r="E33" s="4"/>
      <c r="F33" s="4"/>
      <c r="G33" s="30" t="n">
        <f aca="false">SUM(G5:G32)</f>
        <v>4873964</v>
      </c>
      <c r="H33" s="4"/>
      <c r="I33" s="4"/>
    </row>
    <row r="34" customFormat="false" ht="15" hidden="false" customHeight="false" outlineLevel="0" collapsed="false">
      <c r="A34" s="4" t="s">
        <v>342</v>
      </c>
      <c r="B34" s="4"/>
      <c r="C34" s="4"/>
      <c r="D34" s="4"/>
      <c r="E34" s="4"/>
      <c r="F34" s="4"/>
      <c r="G34" s="36" t="n">
        <f aca="false">Допущения!$D$20</f>
        <v>5000000</v>
      </c>
      <c r="H34" s="4"/>
      <c r="I34" s="4" t="s">
        <v>343</v>
      </c>
    </row>
    <row r="35" customFormat="false" ht="15" hidden="false" customHeight="false" outlineLevel="0" collapsed="false">
      <c r="A35" s="3" t="s">
        <v>344</v>
      </c>
      <c r="B35" s="4"/>
      <c r="C35" s="4"/>
      <c r="D35" s="4"/>
      <c r="E35" s="4"/>
      <c r="F35" s="4"/>
      <c r="G35" s="30" t="n">
        <f aca="false">G34-G33</f>
        <v>126036</v>
      </c>
      <c r="H35" s="4"/>
      <c r="I35" s="4" t="str">
        <f aca="false">IF(G35&gt;=0,"Бюджет в пределах лимита","Превышение лимита")</f>
        <v>Бюджет в пределах лимита</v>
      </c>
    </row>
    <row r="37" customFormat="false" ht="15" hidden="false" customHeight="false" outlineLevel="0" collapsed="false">
      <c r="A37" s="6" t="s">
        <v>345</v>
      </c>
    </row>
    <row r="38" customFormat="false" ht="15" hidden="false" customHeight="false" outlineLevel="0" collapsed="false">
      <c r="A38" s="11" t="s">
        <v>215</v>
      </c>
      <c r="B38" s="11" t="s">
        <v>208</v>
      </c>
      <c r="C38" s="11" t="s">
        <v>346</v>
      </c>
    </row>
    <row r="39" customFormat="false" ht="15" hidden="false" customHeight="false" outlineLevel="0" collapsed="false">
      <c r="A39" s="4" t="s">
        <v>279</v>
      </c>
      <c r="B39" s="17" t="n">
        <f aca="false">SUMIF($A$5:$A$32,A39,$G$5:$G$32)</f>
        <v>2631342</v>
      </c>
      <c r="C39" s="13" t="n">
        <f aca="false">B39/$G$33</f>
        <v>0.539877192363341</v>
      </c>
    </row>
    <row r="40" customFormat="false" ht="15" hidden="false" customHeight="false" outlineLevel="0" collapsed="false">
      <c r="A40" s="4" t="s">
        <v>293</v>
      </c>
      <c r="B40" s="17" t="n">
        <f aca="false">SUMIF($A$5:$A$32,A40,$G$5:$G$32)</f>
        <v>242000</v>
      </c>
      <c r="C40" s="13" t="n">
        <f aca="false">B40/$G$33</f>
        <v>0.0496515772377473</v>
      </c>
    </row>
    <row r="41" customFormat="false" ht="15" hidden="false" customHeight="false" outlineLevel="0" collapsed="false">
      <c r="A41" s="4" t="s">
        <v>303</v>
      </c>
      <c r="B41" s="17" t="n">
        <f aca="false">SUMIF($A$5:$A$32,A41,$G$5:$G$32)</f>
        <v>200000</v>
      </c>
      <c r="C41" s="13" t="n">
        <f aca="false">B41/$G$33</f>
        <v>0.0410343613535102</v>
      </c>
    </row>
    <row r="42" customFormat="false" ht="15" hidden="false" customHeight="false" outlineLevel="0" collapsed="false">
      <c r="A42" s="4" t="s">
        <v>306</v>
      </c>
      <c r="B42" s="17" t="n">
        <f aca="false">SUMIF($A$5:$A$32,A42,$G$5:$G$32)</f>
        <v>667400</v>
      </c>
      <c r="C42" s="13" t="n">
        <f aca="false">B42/$G$33</f>
        <v>0.136931663836664</v>
      </c>
    </row>
    <row r="43" customFormat="false" ht="15" hidden="false" customHeight="false" outlineLevel="0" collapsed="false">
      <c r="A43" s="4" t="s">
        <v>319</v>
      </c>
      <c r="B43" s="17" t="n">
        <f aca="false">SUMIF($A$5:$A$32,A43,$G$5:$G$32)</f>
        <v>97000</v>
      </c>
      <c r="C43" s="13" t="n">
        <f aca="false">B43/$G$33</f>
        <v>0.0199016652564525</v>
      </c>
    </row>
    <row r="44" customFormat="false" ht="15" hidden="false" customHeight="false" outlineLevel="0" collapsed="false">
      <c r="A44" s="4" t="s">
        <v>328</v>
      </c>
      <c r="B44" s="17" t="n">
        <f aca="false">SUMIF($A$5:$A$32,A44,$G$5:$G$32)</f>
        <v>330000</v>
      </c>
      <c r="C44" s="13" t="n">
        <f aca="false">B44/$G$33</f>
        <v>0.0677066962332918</v>
      </c>
    </row>
    <row r="45" customFormat="false" ht="15" hidden="false" customHeight="false" outlineLevel="0" collapsed="false">
      <c r="A45" s="4" t="s">
        <v>337</v>
      </c>
      <c r="B45" s="17" t="n">
        <f aca="false">SUMIF($A$5:$A$32,A45,$G$5:$G$32)</f>
        <v>263134</v>
      </c>
      <c r="C45" s="13" t="n">
        <f aca="false">B45/$G$33</f>
        <v>0.0539876782019728</v>
      </c>
    </row>
    <row r="46" customFormat="false" ht="15" hidden="false" customHeight="false" outlineLevel="0" collapsed="false">
      <c r="A46" s="4" t="s">
        <v>340</v>
      </c>
      <c r="B46" s="17" t="n">
        <f aca="false">SUMIF($A$5:$A$32,A46,$G$5:$G$32)</f>
        <v>443088</v>
      </c>
      <c r="C46" s="13" t="n">
        <f aca="false">B46/$G$33</f>
        <v>0.0909091655170207</v>
      </c>
    </row>
    <row r="47" customFormat="false" ht="15" hidden="false" customHeight="false" outlineLevel="0" collapsed="false">
      <c r="A47" s="3" t="s">
        <v>212</v>
      </c>
      <c r="B47" s="30" t="n">
        <f aca="false">SUM(B39:B46)</f>
        <v>4873964</v>
      </c>
      <c r="C47" s="34" t="n">
        <f aca="false">SUM(C39:C46)</f>
        <v>1</v>
      </c>
    </row>
  </sheetData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&amp;C&amp;"Times New Roman"Лист &amp;P из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0" t="s">
        <v>347</v>
      </c>
    </row>
    <row r="2" customFormat="false" ht="15" hidden="false" customHeight="false" outlineLevel="0" collapsed="false">
      <c r="A2" s="2" t="s">
        <v>348</v>
      </c>
    </row>
    <row r="4" customFormat="false" ht="31.5" hidden="false" customHeight="true" outlineLevel="0" collapsed="false">
      <c r="A4" s="11" t="s">
        <v>349</v>
      </c>
      <c r="B4" s="11" t="s">
        <v>18</v>
      </c>
      <c r="C4" s="11" t="s">
        <v>20</v>
      </c>
      <c r="D4" s="11" t="s">
        <v>21</v>
      </c>
      <c r="E4" s="11" t="s">
        <v>42</v>
      </c>
    </row>
    <row r="5" customFormat="false" ht="15" hidden="false" customHeight="false" outlineLevel="0" collapsed="false">
      <c r="A5" s="5" t="s">
        <v>350</v>
      </c>
      <c r="B5" s="41" t="n">
        <f aca="false">SUMPRODUCT(Пессимистичный!$AI$6:$AI$41,Пессимистичный!$AO$6:$AO$41)</f>
        <v>-89328769.2740175</v>
      </c>
      <c r="C5" s="41" t="n">
        <f aca="false">SUMPRODUCT(Базовый!$AI$6:$AI$41,Базовый!$AO$6:$AO$41)</f>
        <v>-21114551.9543545</v>
      </c>
      <c r="D5" s="41" t="n">
        <f aca="false">SUMPRODUCT(Оптимистичный!$AI$6:$AI$41,Оптимистичный!$AO$6:$AO$41)</f>
        <v>66276519.5671241</v>
      </c>
      <c r="E5" s="41" t="n">
        <f aca="false">SUMPRODUCT('Версия 1'!$AI$6:$AI$41,'Версия 1'!$AO$6:$AO$41)</f>
        <v>-169944134.830825</v>
      </c>
    </row>
    <row r="6" customFormat="false" ht="15" hidden="false" customHeight="false" outlineLevel="0" collapsed="false">
      <c r="A6" s="5" t="s">
        <v>351</v>
      </c>
      <c r="B6" s="41" t="n">
        <f aca="false">SUMPRODUCT(Пессимистичный!$AN$6:$AN$41,Пессимистичный!$AO$6:$AO$41)</f>
        <v>-89328769.2740175</v>
      </c>
      <c r="C6" s="41" t="n">
        <f aca="false">SUMPRODUCT(Базовый!$AN$6:$AN$41,Базовый!$AO$6:$AO$41)</f>
        <v>-21953293.9233296</v>
      </c>
      <c r="D6" s="41" t="n">
        <f aca="false">SUMPRODUCT(Оптимистичный!$AN$6:$AN$41,Оптимистичный!$AO$6:$AO$41)</f>
        <v>50060162.5852265</v>
      </c>
      <c r="E6" s="41" t="n">
        <f aca="false">SUMPRODUCT('Версия 1'!$AN$6:$AN$41,'Версия 1'!$AO$6:$AO$41)</f>
        <v>-169944134.830825</v>
      </c>
    </row>
    <row r="7" customFormat="false" ht="15" hidden="false" customHeight="false" outlineLevel="0" collapsed="false">
      <c r="A7" s="5" t="s">
        <v>352</v>
      </c>
      <c r="B7" s="41" t="n">
        <f aca="false">SUMPRODUCT(Пессимистичный!$AI$6:$AI$65,Пессимистичный!$AO$6:$AO$65)</f>
        <v>-133082641.607456</v>
      </c>
      <c r="C7" s="41" t="n">
        <f aca="false">SUMPRODUCT(Базовый!$AI$6:$AI$65,Базовый!$AO$6:$AO$65)</f>
        <v>23483259.4731973</v>
      </c>
      <c r="D7" s="41" t="n">
        <f aca="false">SUMPRODUCT(Оптимистичный!$AI$6:$AI$65,Оптимистичный!$AO$6:$AO$65)</f>
        <v>247746952.56087</v>
      </c>
      <c r="E7" s="41" t="n">
        <f aca="false">SUMPRODUCT('Версия 1'!$AI$6:$AI$65,'Версия 1'!$AO$6:$AO$65)</f>
        <v>-307813914.710741</v>
      </c>
    </row>
    <row r="8" customFormat="false" ht="15" hidden="false" customHeight="false" outlineLevel="0" collapsed="false">
      <c r="A8" s="5" t="s">
        <v>353</v>
      </c>
      <c r="B8" s="41" t="n">
        <f aca="false">SUMPRODUCT(Пессимистичный!$AN$6:$AN$65,Пессимистичный!$AO$6:$AO$65)</f>
        <v>-133082641.607456</v>
      </c>
      <c r="C8" s="41" t="n">
        <f aca="false">SUMPRODUCT(Базовый!$AN$6:$AN$65,Базовый!$AO$6:$AO$65)</f>
        <v>15293260.2831304</v>
      </c>
      <c r="D8" s="41" t="n">
        <f aca="false">SUMPRODUCT(Оптимистичный!$AN$6:$AN$65,Оптимистичный!$AO$6:$AO$65)</f>
        <v>190040857.052705</v>
      </c>
      <c r="E8" s="41" t="n">
        <f aca="false">SUMPRODUCT('Версия 1'!$AN$6:$AN$65,'Версия 1'!$AO$6:$AO$65)</f>
        <v>-307813914.710741</v>
      </c>
    </row>
    <row r="9" customFormat="false" ht="25.35" hidden="false" customHeight="false" outlineLevel="0" collapsed="false">
      <c r="A9" s="5" t="s">
        <v>354</v>
      </c>
      <c r="B9" s="41" t="n">
        <f aca="false">SUMPRODUCT(Пессимистичный!$AI$6:$AI$65+Пессимистичный!$AK$6:$AK$65,Пессимистичный!$AO$6:$AO$65)</f>
        <v>-131333253.504626</v>
      </c>
      <c r="C9" s="41" t="n">
        <f aca="false">SUMPRODUCT(Базовый!$AI$6:$AI$65+Базовый!$AK$6:$AK$65,Базовый!$AO$6:$AO$65)</f>
        <v>30113191.5307424</v>
      </c>
      <c r="D9" s="41" t="n">
        <f aca="false">SUMPRODUCT(Оптимистичный!$AI$6:$AI$65+Оптимистичный!$AK$6:$AK$65,Оптимистичный!$AO$6:$AO$65)</f>
        <v>264020131.374379</v>
      </c>
      <c r="E9" s="41" t="n">
        <f aca="false">SUMPRODUCT('Версия 1'!$AI$6:$AI$65+'Версия 1'!$AK$6:$AK$65,'Версия 1'!$AO$6:$AO$65)</f>
        <v>-301183982.653196</v>
      </c>
    </row>
    <row r="10" customFormat="false" ht="15" hidden="false" customHeight="false" outlineLevel="0" collapsed="false">
      <c r="A10" s="5" t="s">
        <v>355</v>
      </c>
      <c r="B10" s="41" t="n">
        <f aca="false">MAX(0,-MIN(Пессимистичный!$AJ$6:$AJ$65))</f>
        <v>220833187.932099</v>
      </c>
      <c r="C10" s="41" t="n">
        <f aca="false">MAX(0,-MIN(Базовый!$AJ$6:$AJ$65))</f>
        <v>32533857.2927784</v>
      </c>
      <c r="D10" s="41" t="n">
        <f aca="false">MAX(0,-MIN(Оптимистичный!$AJ$6:$AJ$65))</f>
        <v>18255992.1468423</v>
      </c>
      <c r="E10" s="41" t="n">
        <f aca="false">MAX(0,-MIN('Версия 1'!$AJ$6:$AJ$65))</f>
        <v>552996886.923788</v>
      </c>
    </row>
    <row r="11" customFormat="false" ht="15" hidden="false" customHeight="false" outlineLevel="0" collapsed="false">
      <c r="A11" s="5" t="s">
        <v>356</v>
      </c>
      <c r="B11" s="42" t="str">
        <f aca="false">IF(COUNT(Пессимистичный!$AP$6:$AP$65)=0,"не достигается",MIN(Пессимистичный!$AP$6:$AP$65))</f>
        <v>не достигается</v>
      </c>
      <c r="C11" s="42" t="n">
        <f aca="false">IF(COUNT(Базовый!$AP$6:$AP$65)=0,"не достигается",MIN(Базовый!$AP$6:$AP$65))</f>
        <v>24</v>
      </c>
      <c r="D11" s="42" t="n">
        <f aca="false">IF(COUNT(Оптимистичный!$AP$6:$AP$65)=0,"не достигается",MIN(Оптимистичный!$AP$6:$AP$65))</f>
        <v>13</v>
      </c>
      <c r="E11" s="42" t="str">
        <f aca="false">IF(COUNT('Версия 1'!$AP$6:$AP$65)=0,"не достигается",MIN('Версия 1'!$AP$6:$AP$65))</f>
        <v>не достигается</v>
      </c>
    </row>
    <row r="12" customFormat="false" ht="15" hidden="false" customHeight="false" outlineLevel="0" collapsed="false">
      <c r="A12" s="5" t="s">
        <v>357</v>
      </c>
      <c r="B12" s="42" t="str">
        <f aca="false">IF(COUNT(Пессимистичный!$AQ$6:$AQ$65)=0,"не достигается",MIN(Пессимистичный!$AQ$6:$AQ$65))</f>
        <v>не достигается</v>
      </c>
      <c r="C12" s="42" t="n">
        <f aca="false">IF(COUNT(Базовый!$AQ$6:$AQ$65)=0,"не достигается",MIN(Базовый!$AQ$6:$AQ$65))</f>
        <v>43</v>
      </c>
      <c r="D12" s="42" t="n">
        <f aca="false">IF(COUNT(Оптимистичный!$AQ$6:$AQ$65)=0,"не достигается",MIN(Оптимистичный!$AQ$6:$AQ$65))</f>
        <v>21</v>
      </c>
      <c r="E12" s="42" t="str">
        <f aca="false">IF(COUNT('Версия 1'!$AQ$6:$AQ$65)=0,"не достигается",MIN('Версия 1'!$AQ$6:$AQ$65))</f>
        <v>не достигается</v>
      </c>
    </row>
    <row r="13" customFormat="false" ht="15" hidden="false" customHeight="false" outlineLevel="0" collapsed="false">
      <c r="A13" s="5" t="s">
        <v>358</v>
      </c>
      <c r="B13" s="41" t="n">
        <f aca="false">Пессимистичный!$O$41</f>
        <v>4331.79014389332</v>
      </c>
      <c r="C13" s="41" t="n">
        <f aca="false">Базовый!$O$41</f>
        <v>8235.36309806706</v>
      </c>
      <c r="D13" s="41" t="n">
        <f aca="false">Оптимистичный!$O$41</f>
        <v>13617.6597762401</v>
      </c>
      <c r="E13" s="41" t="n">
        <f aca="false">'Версия 1'!$O$41</f>
        <v>8235.36309806706</v>
      </c>
    </row>
    <row r="14" customFormat="false" ht="15" hidden="false" customHeight="false" outlineLevel="0" collapsed="false">
      <c r="A14" s="5" t="s">
        <v>359</v>
      </c>
      <c r="B14" s="41" t="n">
        <f aca="false">Пессимистичный!$O$65</f>
        <v>5233.80699766504</v>
      </c>
      <c r="C14" s="41" t="n">
        <f aca="false">Базовый!$O$65</f>
        <v>10653.8149621424</v>
      </c>
      <c r="D14" s="41" t="n">
        <f aca="false">Оптимистичный!$O$65</f>
        <v>18914.1617944576</v>
      </c>
      <c r="E14" s="41" t="n">
        <f aca="false">'Версия 1'!$O$65</f>
        <v>10653.8149621424</v>
      </c>
    </row>
    <row r="15" customFormat="false" ht="15" hidden="false" customHeight="false" outlineLevel="0" collapsed="false">
      <c r="A15" s="5" t="s">
        <v>360</v>
      </c>
      <c r="B15" s="41" t="n">
        <f aca="false">Пессимистичный!$R$65</f>
        <v>64</v>
      </c>
      <c r="C15" s="41" t="n">
        <f aca="false">Базовый!$R$65</f>
        <v>109</v>
      </c>
      <c r="D15" s="41" t="n">
        <f aca="false">Оптимистичный!$R$65</f>
        <v>170</v>
      </c>
      <c r="E15" s="41" t="n">
        <f aca="false">'Версия 1'!$R$65</f>
        <v>153</v>
      </c>
    </row>
    <row r="16" customFormat="false" ht="15" hidden="false" customHeight="false" outlineLevel="0" collapsed="false">
      <c r="A16" s="5" t="s">
        <v>361</v>
      </c>
      <c r="B16" s="41" t="n">
        <f aca="false">SUM(Пессимистичный!$W$6:$W$8)</f>
        <v>292866.885245902</v>
      </c>
      <c r="C16" s="41" t="n">
        <f aca="false">SUM(Базовый!$W$6:$W$8)</f>
        <v>316276.721311475</v>
      </c>
      <c r="D16" s="41" t="n">
        <f aca="false">SUM(Оптимистичный!$W$6:$W$8)</f>
        <v>327981.639344262</v>
      </c>
      <c r="E16" s="41" t="n">
        <f aca="false">SUM('Версия 1'!$W$6:$W$8)</f>
        <v>267116.065573771</v>
      </c>
    </row>
    <row r="17" customFormat="false" ht="15" hidden="false" customHeight="false" outlineLevel="0" collapsed="false">
      <c r="A17" s="5" t="s">
        <v>362</v>
      </c>
      <c r="B17" s="41" t="n">
        <f aca="false">Пессимистичный!$B$70</f>
        <v>18779931.1893627</v>
      </c>
      <c r="C17" s="41" t="n">
        <f aca="false">Базовый!$B$70</f>
        <v>31496601.5556457</v>
      </c>
      <c r="D17" s="41" t="n">
        <f aca="false">Оптимистичный!$B$70</f>
        <v>41038865.5674724</v>
      </c>
      <c r="E17" s="41" t="n">
        <f aca="false">'Версия 1'!$B$70</f>
        <v>26337800.3991407</v>
      </c>
    </row>
    <row r="18" customFormat="false" ht="15" hidden="false" customHeight="false" outlineLevel="0" collapsed="false">
      <c r="A18" s="5" t="s">
        <v>363</v>
      </c>
      <c r="B18" s="41" t="n">
        <f aca="false">Пессимистичный!$B$71</f>
        <v>64939174.8613855</v>
      </c>
      <c r="C18" s="41" t="n">
        <f aca="false">Базовый!$B$71</f>
        <v>124895032.197818</v>
      </c>
      <c r="D18" s="41" t="n">
        <f aca="false">Оптимистичный!$B$71</f>
        <v>193222438.422172</v>
      </c>
      <c r="E18" s="41" t="n">
        <f aca="false">'Версия 1'!$B$71</f>
        <v>103841498.519457</v>
      </c>
    </row>
    <row r="19" customFormat="false" ht="15" hidden="false" customHeight="false" outlineLevel="0" collapsed="false">
      <c r="A19" s="5" t="s">
        <v>364</v>
      </c>
      <c r="B19" s="41" t="n">
        <f aca="false">Пессимистичный!$B$72</f>
        <v>117634139.72956</v>
      </c>
      <c r="C19" s="41" t="n">
        <f aca="false">Базовый!$B$72</f>
        <v>232876909.399079</v>
      </c>
      <c r="D19" s="41" t="n">
        <f aca="false">Оптимистичный!$B$72</f>
        <v>384852185.893245</v>
      </c>
      <c r="E19" s="41" t="n">
        <f aca="false">'Версия 1'!$B$72</f>
        <v>193411241.507068</v>
      </c>
    </row>
    <row r="20" customFormat="false" ht="15" hidden="false" customHeight="false" outlineLevel="0" collapsed="false">
      <c r="A20" s="5" t="s">
        <v>365</v>
      </c>
      <c r="B20" s="41" t="n">
        <f aca="false">Пессимистичный!$B$73</f>
        <v>157295926.742627</v>
      </c>
      <c r="C20" s="41" t="n">
        <f aca="false">Базовый!$B$73</f>
        <v>322922125.23119</v>
      </c>
      <c r="D20" s="41" t="n">
        <f aca="false">Оптимистичный!$B$73</f>
        <v>559213360.278873</v>
      </c>
      <c r="E20" s="41" t="n">
        <f aca="false">'Версия 1'!$B$73</f>
        <v>267921671.00822</v>
      </c>
    </row>
    <row r="21" customFormat="false" ht="15" hidden="false" customHeight="false" outlineLevel="0" collapsed="false">
      <c r="A21" s="5" t="s">
        <v>366</v>
      </c>
      <c r="B21" s="41" t="n">
        <f aca="false">Пессимистичный!$B$74</f>
        <v>181850107.693038</v>
      </c>
      <c r="C21" s="41" t="n">
        <f aca="false">Базовый!$B$74</f>
        <v>385864210.729478</v>
      </c>
      <c r="D21" s="41" t="n">
        <f aca="false">Оптимистичный!$B$74</f>
        <v>692778663.036777</v>
      </c>
      <c r="E21" s="41" t="n">
        <f aca="false">'Версия 1'!$B$74</f>
        <v>319709164.254002</v>
      </c>
    </row>
    <row r="22" customFormat="false" ht="15" hidden="false" customHeight="false" outlineLevel="0" collapsed="false">
      <c r="A22" s="5" t="s">
        <v>367</v>
      </c>
      <c r="B22" s="41" t="n">
        <f aca="false">Пессимистичный!$C$70</f>
        <v>-32670499.1453407</v>
      </c>
      <c r="C22" s="41" t="n">
        <f aca="false">Базовый!$C$70</f>
        <v>-24976438.9462082</v>
      </c>
      <c r="D22" s="41" t="n">
        <f aca="false">Оптимистичный!$C$70</f>
        <v>-18255992.1468423</v>
      </c>
      <c r="E22" s="41" t="n">
        <f aca="false">'Версия 1'!$C$70</f>
        <v>-43302771.8795945</v>
      </c>
    </row>
    <row r="23" customFormat="false" ht="15" hidden="false" customHeight="false" outlineLevel="0" collapsed="false">
      <c r="A23" s="5" t="s">
        <v>368</v>
      </c>
      <c r="B23" s="41" t="n">
        <f aca="false">Пессимистичный!$C$71</f>
        <v>-40397406.6714149</v>
      </c>
      <c r="C23" s="41" t="n">
        <f aca="false">Базовый!$C$71</f>
        <v>-7556528.89624932</v>
      </c>
      <c r="D23" s="41" t="n">
        <f aca="false">Оптимистичный!$C$71</f>
        <v>32437820.6728865</v>
      </c>
      <c r="E23" s="41" t="n">
        <f aca="false">'Версия 1'!$C$71</f>
        <v>-79712783.32491</v>
      </c>
    </row>
    <row r="24" customFormat="false" ht="15" hidden="false" customHeight="false" outlineLevel="0" collapsed="false">
      <c r="A24" s="5" t="s">
        <v>369</v>
      </c>
      <c r="B24" s="41" t="n">
        <f aca="false">Пессимистичный!$C$72</f>
        <v>-50659678.9983035</v>
      </c>
      <c r="C24" s="41" t="n">
        <f aca="false">Базовый!$C$72</f>
        <v>12184223.4150368</v>
      </c>
      <c r="D24" s="41" t="n">
        <f aca="false">Оптимистичный!$C$72</f>
        <v>100035768.771397</v>
      </c>
      <c r="E24" s="41" t="n">
        <f aca="false">'Версия 1'!$C$72</f>
        <v>-121939427.576375</v>
      </c>
    </row>
    <row r="25" customFormat="false" ht="15" hidden="false" customHeight="false" outlineLevel="0" collapsed="false">
      <c r="A25" s="5" t="s">
        <v>370</v>
      </c>
      <c r="B25" s="41" t="n">
        <f aca="false">Пессимистичный!$C$73</f>
        <v>-48137364.5438388</v>
      </c>
      <c r="C25" s="41" t="n">
        <f aca="false">Базовый!$C$73</f>
        <v>40463903.6974143</v>
      </c>
      <c r="D25" s="41" t="n">
        <f aca="false">Оптимистичный!$C$73</f>
        <v>175571536.755556</v>
      </c>
      <c r="E25" s="41" t="n">
        <f aca="false">'Версия 1'!$C$73</f>
        <v>-144987462.766137</v>
      </c>
    </row>
    <row r="26" customFormat="false" ht="15" hidden="false" customHeight="false" outlineLevel="0" collapsed="false">
      <c r="A26" s="5" t="s">
        <v>371</v>
      </c>
      <c r="B26" s="41" t="n">
        <f aca="false">Пессимистичный!$C$74</f>
        <v>-48968238.5732015</v>
      </c>
      <c r="C26" s="41" t="n">
        <f aca="false">Базовый!$C$74</f>
        <v>60999134.6357191</v>
      </c>
      <c r="D26" s="41" t="n">
        <f aca="false">Оптимистичный!$C$74</f>
        <v>234341345.17413</v>
      </c>
      <c r="E26" s="41" t="n">
        <f aca="false">'Версия 1'!$C$74</f>
        <v>-163054441.376772</v>
      </c>
    </row>
    <row r="27" customFormat="false" ht="15" hidden="false" customHeight="false" outlineLevel="0" collapsed="false">
      <c r="A27" s="5" t="s">
        <v>372</v>
      </c>
      <c r="B27" s="41" t="n">
        <f aca="false">Пессимистичный!$H$75</f>
        <v>3257280.02647802</v>
      </c>
      <c r="C27" s="41" t="n">
        <f aca="false">Базовый!$H$75</f>
        <v>12495581.41479</v>
      </c>
      <c r="D27" s="41" t="n">
        <f aca="false">Оптимистичный!$H$75</f>
        <v>31135754.6587669</v>
      </c>
      <c r="E27" s="41" t="n">
        <f aca="false">'Версия 1'!$H$75</f>
        <v>12495581.41479</v>
      </c>
    </row>
    <row r="28" customFormat="false" ht="25.35" hidden="false" customHeight="false" outlineLevel="0" collapsed="false">
      <c r="A28" s="5" t="s">
        <v>373</v>
      </c>
      <c r="B28" s="41" t="n">
        <f aca="false">SUM(Пессимистичный!$AL$6:$AL$65)</f>
        <v>23946263.8127863</v>
      </c>
      <c r="C28" s="41" t="n">
        <f aca="false">SUM(Базовый!$AL$6:$AL$65)</f>
        <v>46773206.622299</v>
      </c>
      <c r="D28" s="41" t="n">
        <f aca="false">SUM(Оптимистичный!$AL$6:$AL$65)</f>
        <v>77956259.3963815</v>
      </c>
      <c r="E28" s="41" t="n">
        <f aca="false">SUM('Версия 1'!$AL$6:$AL$65)</f>
        <v>38890081.9106756</v>
      </c>
    </row>
  </sheetData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&amp;C&amp;"Times New Roman"Лист &amp;P из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0" t="s">
        <v>374</v>
      </c>
    </row>
    <row r="2" customFormat="false" ht="15" hidden="false" customHeight="false" outlineLevel="0" collapsed="false">
      <c r="A2" s="2" t="s">
        <v>375</v>
      </c>
    </row>
    <row r="4" customFormat="false" ht="31.5" hidden="false" customHeight="true" outlineLevel="0" collapsed="false">
      <c r="A4" s="11" t="s">
        <v>349</v>
      </c>
      <c r="B4" s="11" t="s">
        <v>18</v>
      </c>
      <c r="C4" s="11" t="s">
        <v>20</v>
      </c>
      <c r="D4" s="11" t="s">
        <v>21</v>
      </c>
      <c r="E4" s="11" t="s">
        <v>42</v>
      </c>
    </row>
    <row r="5" customFormat="false" ht="15" hidden="false" customHeight="false" outlineLevel="0" collapsed="false">
      <c r="A5" s="5" t="s">
        <v>376</v>
      </c>
      <c r="B5" s="41" t="n">
        <f aca="false">Допущения!$C$70</f>
        <v>2865</v>
      </c>
      <c r="C5" s="41" t="n">
        <f aca="false">Допущения!$D$70</f>
        <v>3115</v>
      </c>
      <c r="D5" s="41" t="n">
        <f aca="false">Допущения!$E$70</f>
        <v>3240</v>
      </c>
      <c r="E5" s="41" t="n">
        <f aca="false">Допущения!$F$70</f>
        <v>2590</v>
      </c>
    </row>
    <row r="6" customFormat="false" ht="15" hidden="false" customHeight="false" outlineLevel="0" collapsed="false">
      <c r="A6" s="5" t="s">
        <v>377</v>
      </c>
      <c r="B6" s="43" t="n">
        <f aca="false">'Льготы ветеранам'!$D$9</f>
        <v>0.048</v>
      </c>
      <c r="C6" s="43" t="n">
        <f aca="false">'Льготы ветеранам'!$D$9</f>
        <v>0.048</v>
      </c>
      <c r="D6" s="43" t="n">
        <f aca="false">'Льготы ветеранам'!$D$9</f>
        <v>0.048</v>
      </c>
      <c r="E6" s="43" t="n">
        <f aca="false">'Льготы ветеранам'!$D$9</f>
        <v>0.048</v>
      </c>
    </row>
    <row r="7" customFormat="false" ht="15" hidden="false" customHeight="false" outlineLevel="0" collapsed="false">
      <c r="A7" s="5" t="s">
        <v>378</v>
      </c>
      <c r="B7" s="41" t="n">
        <f aca="false">B5*(1-B6)</f>
        <v>2727.48</v>
      </c>
      <c r="C7" s="41" t="n">
        <f aca="false">C5*(1-C6)</f>
        <v>2965.48</v>
      </c>
      <c r="D7" s="41" t="n">
        <f aca="false">D5*(1-D6)</f>
        <v>3084.48</v>
      </c>
      <c r="E7" s="41" t="n">
        <f aca="false">E5*(1-E6)</f>
        <v>2465.68</v>
      </c>
    </row>
    <row r="8" customFormat="false" ht="15" hidden="false" customHeight="false" outlineLevel="0" collapsed="false">
      <c r="A8" s="5" t="s">
        <v>379</v>
      </c>
      <c r="B8" s="41" t="n">
        <f aca="false">B7/(1+Допущения!$C$6)</f>
        <v>2235.6393442623</v>
      </c>
      <c r="C8" s="41" t="n">
        <f aca="false">C7/(1+Допущения!$D$6)</f>
        <v>2430.72131147541</v>
      </c>
      <c r="D8" s="41" t="n">
        <f aca="false">D7/(1+Допущения!$E$6)</f>
        <v>2528.26229508197</v>
      </c>
      <c r="E8" s="41" t="n">
        <f aca="false">E7/(1+Допущения!$F$6)</f>
        <v>2021.04918032787</v>
      </c>
    </row>
    <row r="9" customFormat="false" ht="15" hidden="false" customHeight="false" outlineLevel="0" collapsed="false">
      <c r="A9" s="5" t="s">
        <v>380</v>
      </c>
      <c r="B9" s="41" t="n">
        <f aca="false">Допущения!$C$26*Допущения!$C$27/(1+Допущения!$C$6)</f>
        <v>122.950819672131</v>
      </c>
      <c r="C9" s="41" t="n">
        <f aca="false">Допущения!$D$26*Допущения!$D$27/(1+Допущения!$D$6)</f>
        <v>122.950819672131</v>
      </c>
      <c r="D9" s="41" t="n">
        <f aca="false">Допущения!$E$26*Допущения!$E$27/(1+Допущения!$E$6)</f>
        <v>122.950819672131</v>
      </c>
      <c r="E9" s="41" t="n">
        <f aca="false">Допущения!$F$26*Допущения!$F$27/(1+Допущения!$F$6)</f>
        <v>122.950819672131</v>
      </c>
    </row>
    <row r="10" customFormat="false" ht="15" hidden="false" customHeight="false" outlineLevel="0" collapsed="false">
      <c r="A10" s="5" t="s">
        <v>174</v>
      </c>
      <c r="B10" s="41" t="n">
        <f aca="false">Допущения!$C$68</f>
        <v>98.5427615862399</v>
      </c>
      <c r="C10" s="41" t="n">
        <f aca="false">Допущения!$D$68</f>
        <v>128.105590062112</v>
      </c>
      <c r="D10" s="41" t="n">
        <f aca="false">Допущения!$E$68</f>
        <v>150.712458896602</v>
      </c>
      <c r="E10" s="41" t="n">
        <f aca="false">Допущения!$F$68</f>
        <v>83.3333333333333</v>
      </c>
    </row>
    <row r="11" customFormat="false" ht="15" hidden="false" customHeight="false" outlineLevel="0" collapsed="false">
      <c r="A11" s="5" t="s">
        <v>176</v>
      </c>
      <c r="B11" s="41" t="n">
        <f aca="false">Допущения!$C$69</f>
        <v>39.5645501630539</v>
      </c>
      <c r="C11" s="41" t="n">
        <f aca="false">Допущения!$D$69</f>
        <v>51.4339152119701</v>
      </c>
      <c r="D11" s="41" t="n">
        <f aca="false">Допущения!$E$69</f>
        <v>60.5104884846707</v>
      </c>
      <c r="E11" s="41" t="n">
        <f aca="false">Допущения!$F$69</f>
        <v>46.2962962962963</v>
      </c>
    </row>
    <row r="12" customFormat="false" ht="15" hidden="false" customHeight="false" outlineLevel="0" collapsed="false">
      <c r="A12" s="5" t="s">
        <v>381</v>
      </c>
      <c r="B12" s="44" t="n">
        <f aca="false">(1-Допущения!$C$25)/B10+Допущения!$C$25/B11</f>
        <v>0.0124169696969697</v>
      </c>
      <c r="C12" s="44" t="n">
        <f aca="false">(1-Допущения!$D$25)/C10+Допущения!$D$25/C11</f>
        <v>0.0107151515151515</v>
      </c>
      <c r="D12" s="44" t="n">
        <f aca="false">(1-Допущения!$E$25)/D10+Допущения!$E$25/D11</f>
        <v>0.00960242424242424</v>
      </c>
      <c r="E12" s="44" t="n">
        <f aca="false">(1-Допущения!$F$25)/E10+Допущения!$F$25/E11</f>
        <v>0.01488</v>
      </c>
    </row>
    <row r="13" customFormat="false" ht="15" hidden="false" customHeight="false" outlineLevel="0" collapsed="false">
      <c r="A13" s="5" t="s">
        <v>382</v>
      </c>
      <c r="B13" s="41" t="n">
        <f aca="false">Допущения!$C$47*Допущения!$C$9*(1+Допущения!$C$14)+Допущения!$C$49*Допущения!$C$9*(1+Допущения!$C$14)/Допущения!$C$48+Допущения!$C$52*(1+1/Допущения!$C$48)+Допущения!$C$51*Допущения!$C$50/12</f>
        <v>132379.5</v>
      </c>
      <c r="C13" s="41" t="n">
        <f aca="false">Допущения!$D$47*Допущения!$D$9*(1+Допущения!$D$14)+Допущения!$D$49*Допущения!$D$9*(1+Допущения!$D$14)/Допущения!$D$48+Допущения!$D$52*(1+1/Допущения!$D$48)+Допущения!$D$51*Допущения!$D$50/12</f>
        <v>118057.5</v>
      </c>
      <c r="D13" s="41" t="n">
        <f aca="false">Допущения!$E$47*Допущения!$E$9*(1+Допущения!$E$14)+Допущения!$E$49*Допущения!$E$9*(1+Допущения!$E$14)/Допущения!$E$48+Допущения!$E$52*(1+1/Допущения!$E$48)+Допущения!$E$51*Допущения!$E$50/12</f>
        <v>110896.5</v>
      </c>
      <c r="E13" s="41" t="n">
        <f aca="false">Допущения!$F$47*Допущения!$F$9*(1+Допущения!$F$14)+Допущения!$F$49*Допущения!$F$9*(1+Допущения!$F$14)/Допущения!$F$48+Допущения!$F$52*(1+1/Допущения!$F$48)+Допущения!$F$51*Допущения!$F$50/12</f>
        <v>145263.1</v>
      </c>
    </row>
    <row r="14" customFormat="false" ht="15" hidden="false" customHeight="false" outlineLevel="0" collapsed="false">
      <c r="A14" s="5" t="s">
        <v>383</v>
      </c>
      <c r="B14" s="41" t="n">
        <f aca="false">B13*B12</f>
        <v>1643.75224</v>
      </c>
      <c r="C14" s="41" t="n">
        <f aca="false">C13*C12</f>
        <v>1265.004</v>
      </c>
      <c r="D14" s="41" t="n">
        <f aca="false">D13*D12</f>
        <v>1064.87524</v>
      </c>
      <c r="E14" s="41" t="n">
        <f aca="false">E13*E12</f>
        <v>2161.514928</v>
      </c>
    </row>
    <row r="15" customFormat="false" ht="15" hidden="false" customHeight="false" outlineLevel="0" collapsed="false">
      <c r="A15" s="5" t="s">
        <v>384</v>
      </c>
      <c r="B15" s="41" t="n">
        <f aca="false">Допущения!$C$53+Допущения!$C$54+B7*Допущения!$C$13+Допущения!$C$56/1000</f>
        <v>422.09464</v>
      </c>
      <c r="C15" s="41" t="n">
        <f aca="false">Допущения!$D$53+Допущения!$D$54+C7*Допущения!$D$13+Допущения!$D$56/1000</f>
        <v>426.37864</v>
      </c>
      <c r="D15" s="41" t="n">
        <f aca="false">Допущения!$E$53+Допущения!$E$54+D7*Допущения!$E$13+Допущения!$E$56/1000</f>
        <v>428.52064</v>
      </c>
      <c r="E15" s="41" t="n">
        <f aca="false">Допущения!$F$53+Допущения!$F$54+E7*Допущения!$F$13+Допущения!$F$56/1000</f>
        <v>497.38224</v>
      </c>
    </row>
    <row r="16" customFormat="false" ht="15" hidden="false" customHeight="false" outlineLevel="0" collapsed="false">
      <c r="A16" s="5" t="s">
        <v>385</v>
      </c>
      <c r="B16" s="41" t="n">
        <f aca="false">B8+B9-B14-B15</f>
        <v>292.743283934427</v>
      </c>
      <c r="C16" s="41" t="n">
        <f aca="false">C8+C9-C14-C15</f>
        <v>862.289491147541</v>
      </c>
      <c r="D16" s="41" t="n">
        <f aca="false">D8+D9-D14-D15</f>
        <v>1157.8172347541</v>
      </c>
      <c r="E16" s="41" t="n">
        <f aca="false">E8+E9-E14-E15</f>
        <v>-514.897168</v>
      </c>
    </row>
    <row r="17" customFormat="false" ht="15" hidden="false" customHeight="false" outlineLevel="0" collapsed="false">
      <c r="A17" s="5" t="s">
        <v>386</v>
      </c>
      <c r="B17" s="45" t="n">
        <f aca="false">B16/(B8+B9)</f>
        <v>0.124117910949859</v>
      </c>
      <c r="C17" s="45" t="n">
        <f aca="false">C16/(C8+C9)</f>
        <v>0.337666484522449</v>
      </c>
      <c r="D17" s="45" t="n">
        <f aca="false">D16/(D8+D9)</f>
        <v>0.436712246296159</v>
      </c>
      <c r="E17" s="45" t="n">
        <f aca="false">E16/(E8+E9)</f>
        <v>-0.24015726119403</v>
      </c>
    </row>
    <row r="18" customFormat="false" ht="15" hidden="false" customHeight="false" outlineLevel="0" collapsed="false">
      <c r="A18" s="5" t="s">
        <v>387</v>
      </c>
      <c r="B18" s="46" t="n">
        <f aca="false">1+(1-Допущения!$C$43)/Допущения!$C$44</f>
        <v>9.125</v>
      </c>
      <c r="C18" s="46" t="n">
        <f aca="false">1+(1-Допущения!$D$43)/Допущения!$D$44</f>
        <v>13.5</v>
      </c>
      <c r="D18" s="46" t="n">
        <f aca="false">1+(1-Допущения!$E$43)/Допущения!$E$44</f>
        <v>19.2222222222222</v>
      </c>
      <c r="E18" s="46" t="n">
        <f aca="false">1+(1-Допущения!$F$43)/Допущения!$F$44</f>
        <v>13.5</v>
      </c>
    </row>
    <row r="19" customFormat="false" ht="15" hidden="false" customHeight="false" outlineLevel="0" collapsed="false">
      <c r="A19" s="5" t="s">
        <v>388</v>
      </c>
      <c r="B19" s="41" t="n">
        <f aca="false">B16*B18</f>
        <v>2671.28246590164</v>
      </c>
      <c r="C19" s="41" t="n">
        <f aca="false">C16*C18</f>
        <v>11640.9081304918</v>
      </c>
      <c r="D19" s="41" t="n">
        <f aca="false">D16*D18</f>
        <v>22255.8201791621</v>
      </c>
      <c r="E19" s="41" t="n">
        <f aca="false">E16*E18</f>
        <v>-6951.111768</v>
      </c>
    </row>
    <row r="20" customFormat="false" ht="15" hidden="false" customHeight="false" outlineLevel="0" collapsed="false">
      <c r="A20" s="5" t="s">
        <v>389</v>
      </c>
      <c r="B20" s="41" t="n">
        <f aca="false">Допущения!$C$34/(Допущения!$C$30+(Допущения!$C$34-Допущения!$C$30*Допущения!$C$29)/Допущения!$C$31)</f>
        <v>5067.56756756757</v>
      </c>
      <c r="C20" s="41" t="n">
        <f aca="false">Допущения!$D$34/(Допущения!$D$30+(Допущения!$D$34-Допущения!$D$30*Допущения!$D$29)/Допущения!$D$31)</f>
        <v>3896.1038961039</v>
      </c>
      <c r="D20" s="41" t="n">
        <f aca="false">Допущения!$E$34/(Допущения!$E$30+(Допущения!$E$34-Допущения!$E$30*Допущения!$E$29)/Допущения!$E$31)</f>
        <v>3040.54054054054</v>
      </c>
      <c r="E20" s="41" t="n">
        <f aca="false">Допущения!$F$34/(Допущения!$F$30+(Допущения!$F$34-Допущения!$F$30*Допущения!$F$29)/Допущения!$F$31)</f>
        <v>3896.1038961039</v>
      </c>
    </row>
    <row r="21" customFormat="false" ht="15" hidden="false" customHeight="false" outlineLevel="0" collapsed="false">
      <c r="A21" s="5" t="s">
        <v>390</v>
      </c>
      <c r="B21" s="47" t="n">
        <f aca="false">B19/B20</f>
        <v>0.527133073271257</v>
      </c>
      <c r="C21" s="47" t="n">
        <f aca="false">C19/C20</f>
        <v>2.98783308682623</v>
      </c>
      <c r="D21" s="47" t="n">
        <f aca="false">D19/D20</f>
        <v>7.31969197003554</v>
      </c>
      <c r="E21" s="47" t="n">
        <f aca="false">E19/E20</f>
        <v>-1.78411868712</v>
      </c>
    </row>
    <row r="22" customFormat="false" ht="15" hidden="false" customHeight="false" outlineLevel="0" collapsed="false">
      <c r="A22" s="5" t="s">
        <v>391</v>
      </c>
      <c r="B22" s="46" t="n">
        <f aca="false">IF(B16&gt;0,B20/B16,"не окупается")</f>
        <v>17.3106193913664</v>
      </c>
      <c r="C22" s="46" t="n">
        <f aca="false">IF(C16&gt;0,C20/C16,"не окупается")</f>
        <v>4.51832468805683</v>
      </c>
      <c r="D22" s="46" t="n">
        <f aca="false">IF(D16&gt;0,D20/D16,"не окупается")</f>
        <v>2.62609715011394</v>
      </c>
      <c r="E22" s="46" t="str">
        <f aca="false">IF(E16&gt;0,E20/E16,"не окупается")</f>
        <v>не окупается</v>
      </c>
    </row>
  </sheetData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&amp;C&amp;"Times New Roman"Лист &amp;P из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64"/>
  </cols>
  <sheetData>
    <row r="1" customFormat="false" ht="17.35" hidden="false" customHeight="false" outlineLevel="0" collapsed="false">
      <c r="A1" s="10" t="s">
        <v>392</v>
      </c>
    </row>
    <row r="2" customFormat="false" ht="15" hidden="false" customHeight="false" outlineLevel="0" collapsed="false">
      <c r="A2" s="2" t="s">
        <v>393</v>
      </c>
    </row>
    <row r="4" customFormat="false" ht="15" hidden="false" customHeight="false" outlineLevel="0" collapsed="false">
      <c r="A4" s="11" t="s">
        <v>349</v>
      </c>
      <c r="B4" s="11" t="s">
        <v>394</v>
      </c>
      <c r="C4" s="11" t="s">
        <v>43</v>
      </c>
      <c r="D4" s="11" t="s">
        <v>44</v>
      </c>
    </row>
    <row r="5" customFormat="false" ht="15" hidden="false" customHeight="false" outlineLevel="0" collapsed="false">
      <c r="A5" s="5" t="s">
        <v>395</v>
      </c>
      <c r="B5" s="18" t="n">
        <v>25800000</v>
      </c>
      <c r="C5" s="12" t="s">
        <v>48</v>
      </c>
      <c r="D5" s="5" t="s">
        <v>396</v>
      </c>
    </row>
    <row r="6" customFormat="false" ht="25.35" hidden="false" customHeight="false" outlineLevel="0" collapsed="false">
      <c r="A6" s="5" t="s">
        <v>397</v>
      </c>
      <c r="B6" s="14" t="n">
        <v>0.54</v>
      </c>
      <c r="C6" s="12" t="s">
        <v>48</v>
      </c>
      <c r="D6" s="5" t="s">
        <v>398</v>
      </c>
    </row>
    <row r="7" customFormat="false" ht="15" hidden="false" customHeight="false" outlineLevel="0" collapsed="false">
      <c r="A7" s="5" t="s">
        <v>399</v>
      </c>
      <c r="B7" s="14" t="n">
        <v>0.6</v>
      </c>
      <c r="C7" s="12" t="s">
        <v>56</v>
      </c>
      <c r="D7" s="5" t="s">
        <v>400</v>
      </c>
    </row>
    <row r="8" customFormat="false" ht="15" hidden="false" customHeight="false" outlineLevel="0" collapsed="false">
      <c r="A8" s="5" t="s">
        <v>401</v>
      </c>
      <c r="B8" s="14" t="n">
        <v>0.7</v>
      </c>
      <c r="C8" s="12" t="s">
        <v>56</v>
      </c>
      <c r="D8" s="5" t="s">
        <v>402</v>
      </c>
    </row>
    <row r="9" customFormat="false" ht="25.35" hidden="false" customHeight="false" outlineLevel="0" collapsed="false">
      <c r="A9" s="5" t="s">
        <v>403</v>
      </c>
      <c r="B9" s="14" t="n">
        <v>0.35</v>
      </c>
      <c r="C9" s="12" t="s">
        <v>56</v>
      </c>
      <c r="D9" s="5" t="s">
        <v>404</v>
      </c>
    </row>
    <row r="10" customFormat="false" ht="15" hidden="false" customHeight="false" outlineLevel="0" collapsed="false">
      <c r="A10" s="4" t="s">
        <v>405</v>
      </c>
      <c r="B10" s="17" t="n">
        <f aca="false">B5*B6*B7*B8</f>
        <v>5851440</v>
      </c>
      <c r="C10" s="12" t="s">
        <v>142</v>
      </c>
      <c r="D10" s="4" t="s">
        <v>406</v>
      </c>
    </row>
    <row r="11" customFormat="false" ht="15" hidden="false" customHeight="false" outlineLevel="0" collapsed="false">
      <c r="A11" s="4" t="s">
        <v>407</v>
      </c>
      <c r="B11" s="17" t="n">
        <f aca="false">B10*Допущения!$D$71*12</f>
        <v>208227939494.4</v>
      </c>
      <c r="C11" s="12" t="s">
        <v>142</v>
      </c>
      <c r="D11" s="4" t="s">
        <v>408</v>
      </c>
    </row>
    <row r="12" customFormat="false" ht="15" hidden="false" customHeight="false" outlineLevel="0" collapsed="false">
      <c r="A12" s="4" t="s">
        <v>409</v>
      </c>
      <c r="B12" s="17" t="n">
        <f aca="false">B10*B9</f>
        <v>2048004</v>
      </c>
      <c r="C12" s="12" t="s">
        <v>142</v>
      </c>
      <c r="D12" s="4" t="s">
        <v>410</v>
      </c>
    </row>
    <row r="13" customFormat="false" ht="15" hidden="false" customHeight="false" outlineLevel="0" collapsed="false">
      <c r="A13" s="4" t="s">
        <v>411</v>
      </c>
      <c r="B13" s="17" t="n">
        <f aca="false">B12*Допущения!$D$71*12</f>
        <v>72879778823.04</v>
      </c>
      <c r="C13" s="12" t="s">
        <v>142</v>
      </c>
      <c r="D13" s="4" t="s">
        <v>412</v>
      </c>
    </row>
    <row r="14" customFormat="false" ht="15" hidden="false" customHeight="false" outlineLevel="0" collapsed="false">
      <c r="A14" s="4" t="s">
        <v>413</v>
      </c>
      <c r="B14" s="36" t="n">
        <f aca="false">Сводка!$C$14</f>
        <v>10653.8149621424</v>
      </c>
      <c r="C14" s="12" t="s">
        <v>142</v>
      </c>
      <c r="D14" s="4" t="s">
        <v>414</v>
      </c>
    </row>
    <row r="15" customFormat="false" ht="15" hidden="false" customHeight="false" outlineLevel="0" collapsed="false">
      <c r="A15" s="4" t="s">
        <v>415</v>
      </c>
      <c r="B15" s="32" t="n">
        <f aca="false">B14/B12</f>
        <v>0.00520204792673375</v>
      </c>
      <c r="C15" s="12" t="s">
        <v>142</v>
      </c>
      <c r="D15" s="4" t="s">
        <v>416</v>
      </c>
    </row>
  </sheetData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&amp;C&amp;"Times New Roman"Лист &amp;P из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5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18" min="11" style="0" width="10"/>
    <col collapsed="false" customWidth="true" hidden="false" outlineLevel="0" max="19" min="19" style="0" width="9"/>
    <col collapsed="false" customWidth="true" hidden="false" outlineLevel="0" max="21" min="20" style="0" width="13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25" min="25" style="0" width="13"/>
    <col collapsed="false" customWidth="true" hidden="false" outlineLevel="0" max="27" min="26" style="0" width="12"/>
    <col collapsed="false" customWidth="true" hidden="false" outlineLevel="0" max="28" min="28" style="0" width="11"/>
    <col collapsed="false" customWidth="true" hidden="false" outlineLevel="0" max="29" min="29" style="0" width="13"/>
    <col collapsed="false" customWidth="true" hidden="false" outlineLevel="0" max="33" min="30" style="0" width="12"/>
    <col collapsed="false" customWidth="true" hidden="false" outlineLevel="0" max="35" min="34" style="0" width="13"/>
    <col collapsed="false" customWidth="true" hidden="false" outlineLevel="0" max="36" min="36" style="0" width="14"/>
    <col collapsed="false" customWidth="true" hidden="false" outlineLevel="0" max="39" min="37" style="0" width="12"/>
    <col collapsed="false" customWidth="true" hidden="false" outlineLevel="0" max="40" min="40" style="0" width="13"/>
    <col collapsed="false" customWidth="true" hidden="false" outlineLevel="0" max="43" min="41" style="0" width="11"/>
  </cols>
  <sheetData>
    <row r="1" customFormat="false" ht="17.35" hidden="false" customHeight="false" outlineLevel="0" collapsed="false">
      <c r="A1" s="10" t="s">
        <v>417</v>
      </c>
    </row>
    <row r="2" customFormat="false" ht="15" hidden="false" customHeight="false" outlineLevel="0" collapsed="false">
      <c r="A2" s="2" t="s">
        <v>418</v>
      </c>
    </row>
    <row r="5" customFormat="false" ht="61.5" hidden="false" customHeight="true" outlineLevel="0" collapsed="false">
      <c r="A5" s="11" t="s">
        <v>207</v>
      </c>
      <c r="B5" s="11" t="s">
        <v>419</v>
      </c>
      <c r="C5" s="11" t="s">
        <v>420</v>
      </c>
      <c r="D5" s="11" t="s">
        <v>421</v>
      </c>
      <c r="E5" s="11" t="s">
        <v>422</v>
      </c>
      <c r="F5" s="11" t="s">
        <v>423</v>
      </c>
      <c r="G5" s="11" t="s">
        <v>424</v>
      </c>
      <c r="H5" s="11" t="s">
        <v>425</v>
      </c>
      <c r="I5" s="11" t="s">
        <v>426</v>
      </c>
      <c r="J5" s="11" t="s">
        <v>427</v>
      </c>
      <c r="K5" s="11" t="s">
        <v>428</v>
      </c>
      <c r="L5" s="11" t="s">
        <v>429</v>
      </c>
      <c r="M5" s="11" t="s">
        <v>430</v>
      </c>
      <c r="N5" s="11" t="s">
        <v>431</v>
      </c>
      <c r="O5" s="11" t="s">
        <v>432</v>
      </c>
      <c r="P5" s="11" t="s">
        <v>433</v>
      </c>
      <c r="Q5" s="11" t="s">
        <v>434</v>
      </c>
      <c r="R5" s="11" t="s">
        <v>435</v>
      </c>
      <c r="S5" s="11" t="s">
        <v>436</v>
      </c>
      <c r="T5" s="11" t="s">
        <v>437</v>
      </c>
      <c r="U5" s="11" t="s">
        <v>438</v>
      </c>
      <c r="V5" s="11" t="s">
        <v>439</v>
      </c>
      <c r="W5" s="11" t="s">
        <v>440</v>
      </c>
      <c r="X5" s="11" t="s">
        <v>441</v>
      </c>
      <c r="Y5" s="11" t="s">
        <v>442</v>
      </c>
      <c r="Z5" s="11" t="s">
        <v>443</v>
      </c>
      <c r="AA5" s="11" t="s">
        <v>444</v>
      </c>
      <c r="AB5" s="11" t="s">
        <v>445</v>
      </c>
      <c r="AC5" s="11" t="s">
        <v>446</v>
      </c>
      <c r="AD5" s="11" t="s">
        <v>447</v>
      </c>
      <c r="AE5" s="11" t="s">
        <v>448</v>
      </c>
      <c r="AF5" s="11" t="s">
        <v>449</v>
      </c>
      <c r="AG5" s="11" t="s">
        <v>450</v>
      </c>
      <c r="AH5" s="11" t="s">
        <v>451</v>
      </c>
      <c r="AI5" s="11" t="s">
        <v>452</v>
      </c>
      <c r="AJ5" s="11" t="s">
        <v>453</v>
      </c>
      <c r="AK5" s="11" t="s">
        <v>454</v>
      </c>
      <c r="AL5" s="11" t="s">
        <v>455</v>
      </c>
      <c r="AM5" s="11" t="s">
        <v>456</v>
      </c>
      <c r="AN5" s="11" t="s">
        <v>457</v>
      </c>
      <c r="AO5" s="11" t="s">
        <v>458</v>
      </c>
      <c r="AP5" s="11" t="s">
        <v>459</v>
      </c>
      <c r="AQ5" s="11" t="s">
        <v>460</v>
      </c>
    </row>
    <row r="6" customFormat="false" ht="15" hidden="false" customHeight="false" outlineLevel="0" collapsed="false">
      <c r="A6" s="28" t="n">
        <v>1</v>
      </c>
      <c r="B6" s="28" t="n">
        <f aca="false">INT((A6-1)/12)+1</f>
        <v>1</v>
      </c>
      <c r="C6" s="12" t="s">
        <v>461</v>
      </c>
      <c r="D6" s="15" t="n">
        <f aca="false">(1+Допущения!$C$11)^(B6-1)</f>
        <v>1</v>
      </c>
      <c r="E6" s="15" t="n">
        <f aca="false">(1+Допущения!$C$12)^(B6-1)</f>
        <v>1</v>
      </c>
      <c r="F6" s="17" t="n">
        <f aca="false">Допущения!$C$71*E6</f>
        <v>2727.48</v>
      </c>
      <c r="G6" s="17" t="n">
        <v>0</v>
      </c>
      <c r="H6" s="25" t="n">
        <v>0</v>
      </c>
      <c r="I6" s="25" t="n">
        <v>0</v>
      </c>
      <c r="J6" s="25" t="n">
        <v>0</v>
      </c>
      <c r="K6" s="25" t="n">
        <f aca="false">Допущения!$B$78-0</f>
        <v>0</v>
      </c>
      <c r="L6" s="25" t="n">
        <f aca="false">Допущения!$B$78</f>
        <v>0</v>
      </c>
      <c r="M6" s="25" t="n">
        <v>0</v>
      </c>
      <c r="N6" s="25" t="n">
        <v>0</v>
      </c>
      <c r="O6" s="25" t="n">
        <f aca="false">L6+N6</f>
        <v>0</v>
      </c>
      <c r="P6" s="25" t="n">
        <f aca="false">L6*Допущения!$C$25</f>
        <v>0</v>
      </c>
      <c r="Q6" s="25" t="n">
        <f aca="false">L6*(1-Допущения!$C$25)+N6</f>
        <v>0</v>
      </c>
      <c r="R6" s="17" t="n">
        <f aca="false">IF(A6&gt;1,Допущения!$C$18,0)</f>
        <v>0</v>
      </c>
      <c r="S6" s="17" t="n">
        <v>0</v>
      </c>
      <c r="T6" s="17" t="n">
        <f aca="false">L6*Допущения!$C$60*F6/(1+Допущения!$C$6)</f>
        <v>0</v>
      </c>
      <c r="U6" s="17" t="n">
        <f aca="false">N6*Допущения!$C$28*E6/(1+Допущения!$C$6)</f>
        <v>0</v>
      </c>
      <c r="V6" s="17" t="n">
        <f aca="false">O6*Допущения!$C$26*Допущения!$C$27/(1+Допущения!$C$6)</f>
        <v>0</v>
      </c>
      <c r="W6" s="17" t="n">
        <f aca="false">T6+U6+V6</f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f aca="false">'Бюджет MVP'!$G$33/Допущения!$C$19</f>
        <v>1624654.66666667</v>
      </c>
      <c r="AH6" s="17" t="n">
        <f aca="false">G6+SUM(X6:AG6)</f>
        <v>1624654.66666667</v>
      </c>
      <c r="AI6" s="17" t="n">
        <f aca="false">W6-AH6</f>
        <v>-1624654.66666667</v>
      </c>
      <c r="AJ6" s="17" t="n">
        <f aca="false">AI6</f>
        <v>-1624654.66666667</v>
      </c>
      <c r="AK6" s="17" t="n">
        <v>0</v>
      </c>
      <c r="AL6" s="17" t="n">
        <f aca="false">T6*Допущения!$C$72</f>
        <v>0</v>
      </c>
      <c r="AM6" s="17" t="n">
        <f aca="false">IF(MOD(A6,12)=0,INDEX($F$70:$F$74,B6),0)</f>
        <v>0</v>
      </c>
      <c r="AN6" s="17" t="n">
        <f aca="false">AI6-AM6</f>
        <v>-1624654.66666667</v>
      </c>
      <c r="AO6" s="26" t="n">
        <f aca="false">1/(1+Допущения!$C$74)^A6</f>
        <v>0.983565637299512</v>
      </c>
      <c r="AP6" s="21" t="str">
        <f aca="false">IF(AND(A6&gt;Допущения!$C$19,MIN(AI6:AI$65)&gt;0),A6,"")</f>
        <v/>
      </c>
      <c r="AQ6" s="21" t="str">
        <f aca="false">IF(MIN(AJ6:AJ$65)&gt;0,A6,"")</f>
        <v/>
      </c>
    </row>
    <row r="7" customFormat="false" ht="15" hidden="false" customHeight="false" outlineLevel="0" collapsed="false">
      <c r="A7" s="28" t="n">
        <v>2</v>
      </c>
      <c r="B7" s="28" t="n">
        <f aca="false">INT((A7-1)/12)+1</f>
        <v>1</v>
      </c>
      <c r="C7" s="12" t="s">
        <v>461</v>
      </c>
      <c r="D7" s="15" t="n">
        <f aca="false">(1+Допущения!$C$11)^(B7-1)</f>
        <v>1</v>
      </c>
      <c r="E7" s="15" t="n">
        <f aca="false">(1+Допущения!$C$12)^(B7-1)</f>
        <v>1</v>
      </c>
      <c r="F7" s="17" t="n">
        <f aca="false">Допущения!$C$71*E7</f>
        <v>2727.48</v>
      </c>
      <c r="G7" s="17" t="n">
        <v>0</v>
      </c>
      <c r="H7" s="25" t="n">
        <v>0</v>
      </c>
      <c r="I7" s="25" t="n">
        <v>0</v>
      </c>
      <c r="J7" s="25" t="n">
        <v>0</v>
      </c>
      <c r="K7" s="25" t="n">
        <f aca="false">Допущения!$B$79-Допущения!$B$78</f>
        <v>50</v>
      </c>
      <c r="L7" s="25" t="n">
        <f aca="false">Допущения!$B$79</f>
        <v>50</v>
      </c>
      <c r="M7" s="25" t="n">
        <v>0</v>
      </c>
      <c r="N7" s="25" t="n">
        <v>0</v>
      </c>
      <c r="O7" s="25" t="n">
        <f aca="false">L7+N7</f>
        <v>50</v>
      </c>
      <c r="P7" s="25" t="n">
        <f aca="false">L7*Допущения!$C$25</f>
        <v>7.5</v>
      </c>
      <c r="Q7" s="25" t="n">
        <f aca="false">L7*(1-Допущения!$C$25)+N7</f>
        <v>42.5</v>
      </c>
      <c r="R7" s="17" t="n">
        <f aca="false">IF(A7&gt;1,Допущения!$C$18,0)</f>
        <v>3</v>
      </c>
      <c r="S7" s="17" t="n">
        <v>0</v>
      </c>
      <c r="T7" s="17" t="n">
        <f aca="false">L7*Допущения!$C$60*F7/(1+Допущения!$C$6)</f>
        <v>67069.1803278689</v>
      </c>
      <c r="U7" s="17" t="n">
        <f aca="false">N7*Допущения!$C$28*E7/(1+Допущения!$C$6)</f>
        <v>0</v>
      </c>
      <c r="V7" s="17" t="n">
        <f aca="false">O7*Допущения!$C$26*Допущения!$C$27/(1+Допущения!$C$6)</f>
        <v>6147.54098360656</v>
      </c>
      <c r="W7" s="17" t="n">
        <f aca="false">T7+U7+V7</f>
        <v>73216.7213114754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f aca="false">'Бюджет MVP'!$G$33/Допущения!$C$19</f>
        <v>1624654.66666667</v>
      </c>
      <c r="AH7" s="17" t="n">
        <f aca="false">G7+SUM(X7:AG7)</f>
        <v>1624654.66666667</v>
      </c>
      <c r="AI7" s="17" t="n">
        <f aca="false">W7-AH7</f>
        <v>-1551437.94535519</v>
      </c>
      <c r="AJ7" s="17" t="n">
        <f aca="false">AJ6+AI7</f>
        <v>-3176092.61202186</v>
      </c>
      <c r="AK7" s="17" t="n">
        <v>0</v>
      </c>
      <c r="AL7" s="17" t="n">
        <f aca="false">T7*Допущения!$C$72</f>
        <v>3381.6393442623</v>
      </c>
      <c r="AM7" s="17" t="n">
        <f aca="false">IF(MOD(A7,12)=0,INDEX($F$70:$F$74,B7),0)</f>
        <v>0</v>
      </c>
      <c r="AN7" s="17" t="n">
        <f aca="false">AI7-AM7</f>
        <v>-1551437.94535519</v>
      </c>
      <c r="AO7" s="26" t="n">
        <f aca="false">1/(1+Допущения!$C$74)^A7</f>
        <v>0.967401362876396</v>
      </c>
      <c r="AP7" s="21" t="str">
        <f aca="false">IF(AND(A7&gt;Допущения!$C$19,MIN(AI7:AI$65)&gt;0),A7,"")</f>
        <v/>
      </c>
      <c r="AQ7" s="21" t="str">
        <f aca="false">IF(MIN(AJ7:AJ$65)&gt;0,A7,"")</f>
        <v/>
      </c>
    </row>
    <row r="8" customFormat="false" ht="15" hidden="false" customHeight="false" outlineLevel="0" collapsed="false">
      <c r="A8" s="28" t="n">
        <v>3</v>
      </c>
      <c r="B8" s="28" t="n">
        <f aca="false">INT((A8-1)/12)+1</f>
        <v>1</v>
      </c>
      <c r="C8" s="12" t="s">
        <v>461</v>
      </c>
      <c r="D8" s="15" t="n">
        <f aca="false">(1+Допущения!$C$11)^(B8-1)</f>
        <v>1</v>
      </c>
      <c r="E8" s="15" t="n">
        <f aca="false">(1+Допущения!$C$12)^(B8-1)</f>
        <v>1</v>
      </c>
      <c r="F8" s="17" t="n">
        <f aca="false">Допущения!$C$71*E8</f>
        <v>2727.48</v>
      </c>
      <c r="G8" s="17" t="n">
        <v>0</v>
      </c>
      <c r="H8" s="25" t="n">
        <v>0</v>
      </c>
      <c r="I8" s="25" t="n">
        <v>0</v>
      </c>
      <c r="J8" s="25" t="n">
        <v>0</v>
      </c>
      <c r="K8" s="25" t="n">
        <f aca="false">Допущения!$B$80-Допущения!$B$79</f>
        <v>100</v>
      </c>
      <c r="L8" s="25" t="n">
        <f aca="false">Допущения!$B$80</f>
        <v>150</v>
      </c>
      <c r="M8" s="25" t="n">
        <v>0</v>
      </c>
      <c r="N8" s="25" t="n">
        <v>0</v>
      </c>
      <c r="O8" s="25" t="n">
        <f aca="false">L8+N8</f>
        <v>150</v>
      </c>
      <c r="P8" s="25" t="n">
        <f aca="false">L8*Допущения!$C$25</f>
        <v>22.5</v>
      </c>
      <c r="Q8" s="25" t="n">
        <f aca="false">L8*(1-Допущения!$C$25)+N8</f>
        <v>127.5</v>
      </c>
      <c r="R8" s="17" t="n">
        <f aca="false">IF(A8&gt;1,Допущения!$C$18,0)</f>
        <v>3</v>
      </c>
      <c r="S8" s="17" t="n">
        <v>0</v>
      </c>
      <c r="T8" s="17" t="n">
        <f aca="false">L8*Допущения!$C$60*F8/(1+Допущения!$C$6)</f>
        <v>201207.540983607</v>
      </c>
      <c r="U8" s="17" t="n">
        <f aca="false">N8*Допущения!$C$28*E8/(1+Допущения!$C$6)</f>
        <v>0</v>
      </c>
      <c r="V8" s="17" t="n">
        <f aca="false">O8*Допущения!$C$26*Допущения!$C$27/(1+Допущения!$C$6)</f>
        <v>18442.6229508197</v>
      </c>
      <c r="W8" s="17" t="n">
        <f aca="false">T8+U8+V8</f>
        <v>219650.163934426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f aca="false">'Бюджет MVP'!$G$33/Допущения!$C$19</f>
        <v>1624654.66666667</v>
      </c>
      <c r="AH8" s="17" t="n">
        <f aca="false">G8+SUM(X8:AG8)</f>
        <v>1624654.66666667</v>
      </c>
      <c r="AI8" s="17" t="n">
        <f aca="false">W8-AH8</f>
        <v>-1405004.50273224</v>
      </c>
      <c r="AJ8" s="17" t="n">
        <f aca="false">AJ7+AI8</f>
        <v>-4581097.1147541</v>
      </c>
      <c r="AK8" s="17" t="n">
        <v>0</v>
      </c>
      <c r="AL8" s="17" t="n">
        <f aca="false">T8*Допущения!$C$72</f>
        <v>10144.9180327869</v>
      </c>
      <c r="AM8" s="17" t="n">
        <f aca="false">IF(MOD(A8,12)=0,INDEX($F$70:$F$74,B8),0)</f>
        <v>0</v>
      </c>
      <c r="AN8" s="17" t="n">
        <f aca="false">AI8-AM8</f>
        <v>-1405004.50273224</v>
      </c>
      <c r="AO8" s="26" t="n">
        <f aca="false">1/(1+Допущения!$C$74)^A8</f>
        <v>0.951502738001939</v>
      </c>
      <c r="AP8" s="21" t="str">
        <f aca="false">IF(AND(A8&gt;Допущения!$C$19,MIN(AI8:AI$65)&gt;0),A8,"")</f>
        <v/>
      </c>
      <c r="AQ8" s="21" t="str">
        <f aca="false">IF(MIN(AJ8:AJ$65)&gt;0,A8,"")</f>
        <v/>
      </c>
    </row>
    <row r="9" customFormat="false" ht="15" hidden="false" customHeight="false" outlineLevel="0" collapsed="false">
      <c r="A9" s="28" t="n">
        <v>4</v>
      </c>
      <c r="B9" s="28" t="n">
        <f aca="false">INT((A9-1)/12)+1</f>
        <v>1</v>
      </c>
      <c r="C9" s="12" t="s">
        <v>462</v>
      </c>
      <c r="D9" s="15" t="n">
        <f aca="false">(1+Допущения!$C$11)^(B9-1)</f>
        <v>1</v>
      </c>
      <c r="E9" s="15" t="n">
        <f aca="false">(1+Допущения!$C$12)^(B9-1)</f>
        <v>1</v>
      </c>
      <c r="F9" s="17" t="n">
        <f aca="false">Допущения!$C$71*E9</f>
        <v>2727.48</v>
      </c>
      <c r="G9" s="17" t="n">
        <f aca="false">Допущения!$C$32</f>
        <v>400000</v>
      </c>
      <c r="H9" s="25" t="n">
        <f aca="false">MIN(Допущения!$C$30,G9/Допущения!$C$29)</f>
        <v>200</v>
      </c>
      <c r="I9" s="25" t="n">
        <f aca="false">MAX(0,G9-H9*Допущения!$C$29)/Допущения!$C$31</f>
        <v>13.3333333333333</v>
      </c>
      <c r="J9" s="25" t="n">
        <f aca="false">IF(A9&gt;=Допущения!$C$35,Допущения!$C$36,0)</f>
        <v>0</v>
      </c>
      <c r="K9" s="25" t="n">
        <f aca="false">H9+I9+J9</f>
        <v>213.333333333333</v>
      </c>
      <c r="L9" s="25" t="n">
        <f aca="false">(L8-K8)*(1-Допущения!$C$44)+K8*(1-Допущения!$C$43)+K9</f>
        <v>324.333333333333</v>
      </c>
      <c r="M9" s="25" t="n">
        <f aca="false">IF(A9&gt;=Допущения!$C$38,Допущения!$C$73/Допущения!$C$42*MIN(Допущения!$C$42,A9-Допущения!$C$38+1),0)</f>
        <v>0</v>
      </c>
      <c r="N9" s="25" t="n">
        <f aca="false">N8*(1-Допущения!$C$45)+M9</f>
        <v>0</v>
      </c>
      <c r="O9" s="25" t="n">
        <f aca="false">L9+N9</f>
        <v>324.333333333333</v>
      </c>
      <c r="P9" s="25" t="n">
        <f aca="false">L9*Допущения!$C$25</f>
        <v>48.65</v>
      </c>
      <c r="Q9" s="25" t="n">
        <f aca="false">L9*(1-Допущения!$C$25)+N9</f>
        <v>275.683333333333</v>
      </c>
      <c r="R9" s="17" t="n">
        <f aca="false">MAX(Допущения!$C$18,ROUNDUP(Q9/Допущения!$C$68+P9/Допущения!$C$69,0))</f>
        <v>5</v>
      </c>
      <c r="S9" s="17" t="n">
        <f aca="false">ROUNDUP(R9/Допущения!$C$48,0)</f>
        <v>1</v>
      </c>
      <c r="T9" s="17" t="n">
        <f aca="false">L9*F9/(1+Допущения!$C$6)</f>
        <v>725092.360655738</v>
      </c>
      <c r="U9" s="17" t="n">
        <f aca="false">N9*Допущения!$C$28*E9/(1+Допущения!$C$6)</f>
        <v>0</v>
      </c>
      <c r="V9" s="17" t="n">
        <f aca="false">O9*Допущения!$C$26*Допущения!$C$27/(1+Допущения!$C$6)</f>
        <v>39877.0491803279</v>
      </c>
      <c r="W9" s="17" t="n">
        <f aca="false">T9+U9+V9</f>
        <v>764969.409836066</v>
      </c>
      <c r="X9" s="17" t="n">
        <f aca="false">J9*Допущения!$C$37</f>
        <v>0</v>
      </c>
      <c r="Y9" s="17" t="n">
        <f aca="false">(R9*Допущения!$C$47+S9*Допущения!$C$49)*D9*Допущения!$C$9</f>
        <v>664020</v>
      </c>
      <c r="Z9" s="17" t="n">
        <f aca="false">(MAX(0,R9-R8)+R9*Допущения!$C$50/12)*Допущения!$C$51*D9</f>
        <v>148750</v>
      </c>
      <c r="AA9" s="17" t="n">
        <f aca="false">O9*(Допущения!$C$53+Допущения!$C$54)+(L9*F9+N9*Допущения!$C$28*E9)*Допущения!$C$13</f>
        <v>134304.694906667</v>
      </c>
      <c r="AB9" s="17" t="n">
        <f aca="false">(R9+S9)*Допущения!$C$52</f>
        <v>16200</v>
      </c>
      <c r="AC9" s="17" t="n">
        <f aca="false">SUMPRODUCT(Допущения!$B$84:$B$91,Допущения!$C$84:$C$91,--(Допущения!$D$84:$D$91&lt;=A9))*D9*Допущения!$C$9</f>
        <v>1132740</v>
      </c>
      <c r="AD9" s="17" t="n">
        <f aca="false">(AC9+Y9)*Допущения!$C$14</f>
        <v>179676</v>
      </c>
      <c r="AE9" s="17" t="n">
        <f aca="false">Допущения!$C$55+Допущения!$C$56*O9/1000+Допущения!$C$57</f>
        <v>142594.666666667</v>
      </c>
      <c r="AF9" s="17" t="n">
        <f aca="false">SUMIF(Допущения!$B$95:$B$103,A9,Допущения!$C$95:$C$103)</f>
        <v>1000000</v>
      </c>
      <c r="AG9" s="17" t="n">
        <v>0</v>
      </c>
      <c r="AH9" s="17" t="n">
        <f aca="false">G9+SUM(X9:AG9)</f>
        <v>3818285.36157333</v>
      </c>
      <c r="AI9" s="17" t="n">
        <f aca="false">W9-AH9</f>
        <v>-3053315.95173727</v>
      </c>
      <c r="AJ9" s="17" t="n">
        <f aca="false">AJ8+AI9</f>
        <v>-7634413.06649137</v>
      </c>
      <c r="AK9" s="17" t="n">
        <f aca="false">O9*Допущения!$C$58*Допущения!$C$59</f>
        <v>5351.5</v>
      </c>
      <c r="AL9" s="17" t="n">
        <f aca="false">T9*Допущения!$C$72</f>
        <v>36559.2786885246</v>
      </c>
      <c r="AM9" s="17" t="n">
        <f aca="false">IF(MOD(A9,12)=0,INDEX($F$70:$F$74,B9),0)</f>
        <v>0</v>
      </c>
      <c r="AN9" s="17" t="n">
        <f aca="false">AI9-AM9</f>
        <v>-3053315.95173727</v>
      </c>
      <c r="AO9" s="26" t="n">
        <f aca="false">1/(1+Допущения!$C$74)^A9</f>
        <v>0.935865396895108</v>
      </c>
      <c r="AP9" s="21" t="str">
        <f aca="false">IF(AND(A9&gt;Допущения!$C$19,MIN(AI9:AI$65)&gt;0),A9,"")</f>
        <v/>
      </c>
      <c r="AQ9" s="21" t="str">
        <f aca="false">IF(MIN(AJ9:AJ$65)&gt;0,A9,"")</f>
        <v/>
      </c>
    </row>
    <row r="10" customFormat="false" ht="15" hidden="false" customHeight="false" outlineLevel="0" collapsed="false">
      <c r="A10" s="28" t="n">
        <v>5</v>
      </c>
      <c r="B10" s="28" t="n">
        <f aca="false">INT((A10-1)/12)+1</f>
        <v>1</v>
      </c>
      <c r="C10" s="12" t="s">
        <v>462</v>
      </c>
      <c r="D10" s="15" t="n">
        <f aca="false">(1+Допущения!$C$11)^(B10-1)</f>
        <v>1</v>
      </c>
      <c r="E10" s="15" t="n">
        <f aca="false">(1+Допущения!$C$12)^(B10-1)</f>
        <v>1</v>
      </c>
      <c r="F10" s="17" t="n">
        <f aca="false">Допущения!$C$71*E10</f>
        <v>2727.48</v>
      </c>
      <c r="G10" s="17" t="n">
        <f aca="false">MIN(G9*(1+Допущения!$C$33),Допущения!$C$34)</f>
        <v>432000</v>
      </c>
      <c r="H10" s="25" t="n">
        <f aca="false">MIN(Допущения!$C$30,G10/Допущения!$C$29)</f>
        <v>200</v>
      </c>
      <c r="I10" s="25" t="n">
        <f aca="false">MAX(0,G10-H10*Допущения!$C$29)/Допущения!$C$31</f>
        <v>17.6</v>
      </c>
      <c r="J10" s="25" t="n">
        <f aca="false">IF(A10&gt;=Допущения!$C$35,Допущения!$C$36,0)</f>
        <v>0</v>
      </c>
      <c r="K10" s="25" t="n">
        <f aca="false">H10+I10+J10</f>
        <v>217.6</v>
      </c>
      <c r="L10" s="25" t="n">
        <f aca="false">(L9-K9)*(1-Допущения!$C$44)+K9*(1-Допущения!$C$43)+K10</f>
        <v>458.386666666667</v>
      </c>
      <c r="M10" s="25" t="n">
        <f aca="false">IF(A10&gt;=Допущения!$C$38,Допущения!$C$73/Допущения!$C$42*MIN(Допущения!$C$42,A10-Допущения!$C$38+1),0)</f>
        <v>0</v>
      </c>
      <c r="N10" s="25" t="n">
        <f aca="false">N9*(1-Допущения!$C$45)+M10</f>
        <v>0</v>
      </c>
      <c r="O10" s="25" t="n">
        <f aca="false">L10+N10</f>
        <v>458.386666666667</v>
      </c>
      <c r="P10" s="25" t="n">
        <f aca="false">L10*Допущения!$C$25</f>
        <v>68.758</v>
      </c>
      <c r="Q10" s="25" t="n">
        <f aca="false">L10*(1-Допущения!$C$25)+N10</f>
        <v>389.628666666667</v>
      </c>
      <c r="R10" s="17" t="n">
        <f aca="false">MAX(Допущения!$C$18,ROUNDUP(Q10/Допущения!$C$68+P10/Допущения!$C$69,0))</f>
        <v>6</v>
      </c>
      <c r="S10" s="17" t="n">
        <f aca="false">ROUNDUP(R10/Допущения!$C$48,0)</f>
        <v>1</v>
      </c>
      <c r="T10" s="17" t="n">
        <f aca="false">L10*F10/(1+Допущения!$C$6)</f>
        <v>1024787.26688525</v>
      </c>
      <c r="U10" s="17" t="n">
        <f aca="false">N10*Допущения!$C$28*E10/(1+Допущения!$C$6)</f>
        <v>0</v>
      </c>
      <c r="V10" s="17" t="n">
        <f aca="false">O10*Допущения!$C$26*Допущения!$C$27/(1+Допущения!$C$6)</f>
        <v>56359.0163934426</v>
      </c>
      <c r="W10" s="17" t="n">
        <f aca="false">T10+U10+V10</f>
        <v>1081146.28327869</v>
      </c>
      <c r="X10" s="17" t="n">
        <f aca="false">J10*Допущения!$C$37</f>
        <v>0</v>
      </c>
      <c r="Y10" s="17" t="n">
        <f aca="false">(R10*Допущения!$C$47+S10*Допущения!$C$49)*D10*Допущения!$C$9</f>
        <v>768180</v>
      </c>
      <c r="Z10" s="17" t="n">
        <f aca="false">(MAX(0,R10-R9)+R10*Допущения!$C$50/12)*Допущения!$C$51*D10</f>
        <v>80500</v>
      </c>
      <c r="AA10" s="17" t="n">
        <f aca="false">O10*(Допущения!$C$53+Допущения!$C$54)+(L10*F10+N10*Допущения!$C$28*E10)*Допущения!$C$13</f>
        <v>189815.461714133</v>
      </c>
      <c r="AB10" s="17" t="n">
        <f aca="false">(R10+S10)*Допущения!$C$52</f>
        <v>18900</v>
      </c>
      <c r="AC10" s="17" t="n">
        <f aca="false">SUMPRODUCT(Допущения!$B$84:$B$91,Допущения!$C$84:$C$91,--(Допущения!$D$84:$D$91&lt;=A10))*D10*Допущения!$C$9</f>
        <v>1132740</v>
      </c>
      <c r="AD10" s="17" t="n">
        <f aca="false">(AC10+Y10)*Допущения!$C$14</f>
        <v>190092</v>
      </c>
      <c r="AE10" s="17" t="n">
        <f aca="false">Допущения!$C$55+Допущения!$C$56*O10/1000+Допущения!$C$57</f>
        <v>143667.093333333</v>
      </c>
      <c r="AF10" s="17" t="n">
        <f aca="false">SUMIF(Допущения!$B$95:$B$103,A10,Допущения!$C$95:$C$103)</f>
        <v>1000000</v>
      </c>
      <c r="AG10" s="17" t="n">
        <v>0</v>
      </c>
      <c r="AH10" s="17" t="n">
        <f aca="false">G10+SUM(X10:AG10)</f>
        <v>3955894.55504747</v>
      </c>
      <c r="AI10" s="17" t="n">
        <f aca="false">W10-AH10</f>
        <v>-2874748.27176878</v>
      </c>
      <c r="AJ10" s="17" t="n">
        <f aca="false">AJ9+AI10</f>
        <v>-10509161.3382601</v>
      </c>
      <c r="AK10" s="17" t="n">
        <f aca="false">O10*Допущения!$C$58*Допущения!$C$59</f>
        <v>7563.38</v>
      </c>
      <c r="AL10" s="17" t="n">
        <f aca="false">T10*Допущения!$C$72</f>
        <v>51669.9462295082</v>
      </c>
      <c r="AM10" s="17" t="n">
        <f aca="false">IF(MOD(A10,12)=0,INDEX($F$70:$F$74,B10),0)</f>
        <v>0</v>
      </c>
      <c r="AN10" s="17" t="n">
        <f aca="false">AI10-AM10</f>
        <v>-2874748.27176878</v>
      </c>
      <c r="AO10" s="26" t="n">
        <f aca="false">1/(1+Допущения!$C$74)^A10</f>
        <v>0.920485045523697</v>
      </c>
      <c r="AP10" s="21" t="str">
        <f aca="false">IF(AND(A10&gt;Допущения!$C$19,MIN(AI10:AI$65)&gt;0),A10,"")</f>
        <v/>
      </c>
      <c r="AQ10" s="21" t="str">
        <f aca="false">IF(MIN(AJ10:AJ$65)&gt;0,A10,"")</f>
        <v/>
      </c>
    </row>
    <row r="11" customFormat="false" ht="15" hidden="false" customHeight="false" outlineLevel="0" collapsed="false">
      <c r="A11" s="28" t="n">
        <v>6</v>
      </c>
      <c r="B11" s="28" t="n">
        <f aca="false">INT((A11-1)/12)+1</f>
        <v>1</v>
      </c>
      <c r="C11" s="12" t="s">
        <v>462</v>
      </c>
      <c r="D11" s="15" t="n">
        <f aca="false">(1+Допущения!$C$11)^(B11-1)</f>
        <v>1</v>
      </c>
      <c r="E11" s="15" t="n">
        <f aca="false">(1+Допущения!$C$12)^(B11-1)</f>
        <v>1</v>
      </c>
      <c r="F11" s="17" t="n">
        <f aca="false">Допущения!$C$71*E11</f>
        <v>2727.48</v>
      </c>
      <c r="G11" s="17" t="n">
        <f aca="false">MIN(G10*(1+Допущения!$C$33),Допущения!$C$34)</f>
        <v>466560</v>
      </c>
      <c r="H11" s="25" t="n">
        <f aca="false">MIN(Допущения!$C$30,G11/Допущения!$C$29)</f>
        <v>200</v>
      </c>
      <c r="I11" s="25" t="n">
        <f aca="false">MAX(0,G11-H11*Допущения!$C$29)/Допущения!$C$31</f>
        <v>22.208</v>
      </c>
      <c r="J11" s="25" t="n">
        <f aca="false">IF(A11&gt;=Допущения!$C$35,Допущения!$C$36,0)</f>
        <v>20</v>
      </c>
      <c r="K11" s="25" t="n">
        <f aca="false">H11+I11+J11</f>
        <v>242.208</v>
      </c>
      <c r="L11" s="25" t="n">
        <f aca="false">(L10-K10)*(1-Допущения!$C$44)+K10*(1-Допущения!$C$43)+K11</f>
        <v>605.171733333333</v>
      </c>
      <c r="M11" s="25" t="n">
        <f aca="false">IF(A11&gt;=Допущения!$C$38,Допущения!$C$73/Допущения!$C$42*MIN(Допущения!$C$42,A11-Допущения!$C$38+1),0)</f>
        <v>0</v>
      </c>
      <c r="N11" s="25" t="n">
        <f aca="false">N10*(1-Допущения!$C$45)+M11</f>
        <v>0</v>
      </c>
      <c r="O11" s="25" t="n">
        <f aca="false">L11+N11</f>
        <v>605.171733333333</v>
      </c>
      <c r="P11" s="25" t="n">
        <f aca="false">L11*Допущения!$C$25</f>
        <v>90.77576</v>
      </c>
      <c r="Q11" s="25" t="n">
        <f aca="false">L11*(1-Допущения!$C$25)+N11</f>
        <v>514.395973333333</v>
      </c>
      <c r="R11" s="17" t="n">
        <f aca="false">MAX(Допущения!$C$18,ROUNDUP(Q11/Допущения!$C$68+P11/Допущения!$C$69,0))</f>
        <v>8</v>
      </c>
      <c r="S11" s="17" t="n">
        <f aca="false">ROUNDUP(R11/Допущения!$C$48,0)</f>
        <v>1</v>
      </c>
      <c r="T11" s="17" t="n">
        <f aca="false">L11*F11/(1+Допущения!$C$6)</f>
        <v>1352945.73707541</v>
      </c>
      <c r="U11" s="17" t="n">
        <f aca="false">N11*Допущения!$C$28*E11/(1+Допущения!$C$6)</f>
        <v>0</v>
      </c>
      <c r="V11" s="17" t="n">
        <f aca="false">O11*Допущения!$C$26*Допущения!$C$27/(1+Допущения!$C$6)</f>
        <v>74406.3606557377</v>
      </c>
      <c r="W11" s="17" t="n">
        <f aca="false">T11+U11+V11</f>
        <v>1427352.09773115</v>
      </c>
      <c r="X11" s="17" t="n">
        <f aca="false">J11*Допущения!$C$37</f>
        <v>10000</v>
      </c>
      <c r="Y11" s="17" t="n">
        <f aca="false">(R11*Допущения!$C$47+S11*Допущения!$C$49)*D11*Допущения!$C$9</f>
        <v>976500</v>
      </c>
      <c r="Z11" s="17" t="n">
        <f aca="false">(MAX(0,R11-R10)+R11*Допущения!$C$50/12)*Допущения!$C$51*D11</f>
        <v>154000</v>
      </c>
      <c r="AA11" s="17" t="n">
        <f aca="false">O11*(Допущения!$C$53+Допущения!$C$54)+(L11*F11+N11*Допущения!$C$28*E11)*Допущения!$C$13</f>
        <v>250598.371052843</v>
      </c>
      <c r="AB11" s="17" t="n">
        <f aca="false">(R11+S11)*Допущения!$C$52</f>
        <v>24300</v>
      </c>
      <c r="AC11" s="17" t="n">
        <f aca="false">SUMPRODUCT(Допущения!$B$84:$B$91,Допущения!$C$84:$C$91,--(Допущения!$D$84:$D$91&lt;=A11))*D11*Допущения!$C$9</f>
        <v>1627500</v>
      </c>
      <c r="AD11" s="17" t="n">
        <f aca="false">(AC11+Y11)*Допущения!$C$14</f>
        <v>260400</v>
      </c>
      <c r="AE11" s="17" t="n">
        <f aca="false">Допущения!$C$55+Допущения!$C$56*O11/1000+Допущения!$C$57</f>
        <v>144841.373866667</v>
      </c>
      <c r="AF11" s="17" t="n">
        <f aca="false">SUMIF(Допущения!$B$95:$B$103,A11,Допущения!$C$95:$C$103)</f>
        <v>1000000</v>
      </c>
      <c r="AG11" s="17" t="n">
        <v>0</v>
      </c>
      <c r="AH11" s="17" t="n">
        <f aca="false">G11+SUM(X11:AG11)</f>
        <v>4914699.74491951</v>
      </c>
      <c r="AI11" s="17" t="n">
        <f aca="false">W11-AH11</f>
        <v>-3487347.64718836</v>
      </c>
      <c r="AJ11" s="17" t="n">
        <f aca="false">AJ10+AI11</f>
        <v>-13996508.9854485</v>
      </c>
      <c r="AK11" s="17" t="n">
        <f aca="false">O11*Допущения!$C$58*Допущения!$C$59</f>
        <v>9985.3336</v>
      </c>
      <c r="AL11" s="17" t="n">
        <f aca="false">T11*Допущения!$C$72</f>
        <v>68215.7514491803</v>
      </c>
      <c r="AM11" s="17" t="n">
        <f aca="false">IF(MOD(A11,12)=0,INDEX($F$70:$F$74,B11),0)</f>
        <v>0</v>
      </c>
      <c r="AN11" s="17" t="n">
        <f aca="false">AI11-AM11</f>
        <v>-3487347.64718836</v>
      </c>
      <c r="AO11" s="26" t="n">
        <f aca="false">1/(1+Допущения!$C$74)^A11</f>
        <v>0.905357460425186</v>
      </c>
      <c r="AP11" s="21" t="str">
        <f aca="false">IF(AND(A11&gt;Допущения!$C$19,MIN(AI11:AI$65)&gt;0),A11,"")</f>
        <v/>
      </c>
      <c r="AQ11" s="21" t="str">
        <f aca="false">IF(MIN(AJ11:AJ$65)&gt;0,A11,"")</f>
        <v/>
      </c>
    </row>
    <row r="12" customFormat="false" ht="15" hidden="false" customHeight="false" outlineLevel="0" collapsed="false">
      <c r="A12" s="28" t="n">
        <v>7</v>
      </c>
      <c r="B12" s="28" t="n">
        <f aca="false">INT((A12-1)/12)+1</f>
        <v>1</v>
      </c>
      <c r="C12" s="12" t="s">
        <v>462</v>
      </c>
      <c r="D12" s="15" t="n">
        <f aca="false">(1+Допущения!$C$11)^(B12-1)</f>
        <v>1</v>
      </c>
      <c r="E12" s="15" t="n">
        <f aca="false">(1+Допущения!$C$12)^(B12-1)</f>
        <v>1</v>
      </c>
      <c r="F12" s="17" t="n">
        <f aca="false">Допущения!$C$71*E12</f>
        <v>2727.48</v>
      </c>
      <c r="G12" s="17" t="n">
        <f aca="false">MIN(G11*(1+Допущения!$C$33),Допущения!$C$34)</f>
        <v>503884.8</v>
      </c>
      <c r="H12" s="25" t="n">
        <f aca="false">MIN(Допущения!$C$30,G12/Допущения!$C$29)</f>
        <v>200</v>
      </c>
      <c r="I12" s="25" t="n">
        <f aca="false">MAX(0,G12-H12*Допущения!$C$29)/Допущения!$C$31</f>
        <v>27.18464</v>
      </c>
      <c r="J12" s="25" t="n">
        <f aca="false">IF(A12&gt;=Допущения!$C$35,Допущения!$C$36,0)</f>
        <v>20</v>
      </c>
      <c r="K12" s="25" t="n">
        <f aca="false">H12+I12+J12</f>
        <v>247.18464</v>
      </c>
      <c r="L12" s="25" t="n">
        <f aca="false">(L11-K11)*(1-Допущения!$C$44)+K11*(1-Допущения!$C$43)+K12</f>
        <v>738.546474666667</v>
      </c>
      <c r="M12" s="25" t="n">
        <f aca="false">IF(A12&gt;=Допущения!$C$38,Допущения!$C$73/Допущения!$C$42*MIN(Допущения!$C$42,A12-Допущения!$C$38+1),0)</f>
        <v>6.66666666666667</v>
      </c>
      <c r="N12" s="25" t="n">
        <f aca="false">N11*(1-Допущения!$C$45)+M12</f>
        <v>6.66666666666667</v>
      </c>
      <c r="O12" s="25" t="n">
        <f aca="false">L12+N12</f>
        <v>745.213141333333</v>
      </c>
      <c r="P12" s="25" t="n">
        <f aca="false">L12*Допущения!$C$25</f>
        <v>110.7819712</v>
      </c>
      <c r="Q12" s="25" t="n">
        <f aca="false">L12*(1-Допущения!$C$25)+N12</f>
        <v>634.431170133333</v>
      </c>
      <c r="R12" s="17" t="n">
        <f aca="false">MAX(Допущения!$C$18,ROUNDUP(Q12/Допущения!$C$68+P12/Допущения!$C$69,0))</f>
        <v>10</v>
      </c>
      <c r="S12" s="17" t="n">
        <f aca="false">ROUNDUP(R12/Допущения!$C$48,0)</f>
        <v>1</v>
      </c>
      <c r="T12" s="17" t="n">
        <f aca="false">L12*F12/(1+Допущения!$C$6)</f>
        <v>1651123.55633102</v>
      </c>
      <c r="U12" s="17" t="n">
        <f aca="false">N12*Допущения!$C$28*E12/(1+Допущения!$C$6)</f>
        <v>10874.3169398907</v>
      </c>
      <c r="V12" s="17" t="n">
        <f aca="false">O12*Допущения!$C$26*Допущения!$C$27/(1+Допущения!$C$6)</f>
        <v>91624.566557377</v>
      </c>
      <c r="W12" s="17" t="n">
        <f aca="false">T12+U12+V12</f>
        <v>1753622.43982828</v>
      </c>
      <c r="X12" s="17" t="n">
        <f aca="false">J12*Допущения!$C$37</f>
        <v>10000</v>
      </c>
      <c r="Y12" s="17" t="n">
        <f aca="false">(R12*Допущения!$C$47+S12*Допущения!$C$49)*D12*Допущения!$C$9</f>
        <v>1184820</v>
      </c>
      <c r="Z12" s="17" t="n">
        <f aca="false">(MAX(0,R12-R11)+R12*Допущения!$C$50/12)*Допущения!$C$51*D12</f>
        <v>157500</v>
      </c>
      <c r="AA12" s="17" t="n">
        <f aca="false">O12*(Допущения!$C$53+Допущения!$C$54)+(L12*F12+N12*Допущения!$C$28*E12)*Допущения!$C$13</f>
        <v>308500.269883696</v>
      </c>
      <c r="AB12" s="17" t="n">
        <f aca="false">(R12+S12)*Допущения!$C$52</f>
        <v>29700</v>
      </c>
      <c r="AC12" s="17" t="n">
        <f aca="false">SUMPRODUCT(Допущения!$B$84:$B$91,Допущения!$C$84:$C$91,--(Допущения!$D$84:$D$91&lt;=A12))*D12*Допущения!$C$9</f>
        <v>1627500</v>
      </c>
      <c r="AD12" s="17" t="n">
        <f aca="false">(AC12+Y12)*Допущения!$C$14</f>
        <v>281232</v>
      </c>
      <c r="AE12" s="17" t="n">
        <f aca="false">Допущения!$C$55+Допущения!$C$56*O12/1000+Допущения!$C$57</f>
        <v>145961.705130667</v>
      </c>
      <c r="AF12" s="17" t="n">
        <f aca="false">SUMIF(Допущения!$B$95:$B$103,A12,Допущения!$C$95:$C$103)</f>
        <v>500000</v>
      </c>
      <c r="AG12" s="17" t="n">
        <v>0</v>
      </c>
      <c r="AH12" s="17" t="n">
        <f aca="false">G12+SUM(X12:AG12)</f>
        <v>4749098.77501436</v>
      </c>
      <c r="AI12" s="17" t="n">
        <f aca="false">W12-AH12</f>
        <v>-2995476.33518608</v>
      </c>
      <c r="AJ12" s="17" t="n">
        <f aca="false">AJ11+AI12</f>
        <v>-16991985.3206346</v>
      </c>
      <c r="AK12" s="17" t="n">
        <f aca="false">O12*Допущения!$C$58*Допущения!$C$59</f>
        <v>12296.016832</v>
      </c>
      <c r="AL12" s="17" t="n">
        <f aca="false">T12*Допущения!$C$72</f>
        <v>83249.9272099672</v>
      </c>
      <c r="AM12" s="17" t="n">
        <f aca="false">IF(MOD(A12,12)=0,INDEX($F$70:$F$74,B12),0)</f>
        <v>0</v>
      </c>
      <c r="AN12" s="17" t="n">
        <f aca="false">AI12-AM12</f>
        <v>-2995476.33518608</v>
      </c>
      <c r="AO12" s="26" t="n">
        <f aca="false">1/(1+Допущения!$C$74)^A12</f>
        <v>0.890478487546966</v>
      </c>
      <c r="AP12" s="21" t="str">
        <f aca="false">IF(AND(A12&gt;Допущения!$C$19,MIN(AI12:AI$65)&gt;0),A12,"")</f>
        <v/>
      </c>
      <c r="AQ12" s="21" t="str">
        <f aca="false">IF(MIN(AJ12:AJ$65)&gt;0,A12,"")</f>
        <v/>
      </c>
    </row>
    <row r="13" customFormat="false" ht="15" hidden="false" customHeight="false" outlineLevel="0" collapsed="false">
      <c r="A13" s="28" t="n">
        <v>8</v>
      </c>
      <c r="B13" s="28" t="n">
        <f aca="false">INT((A13-1)/12)+1</f>
        <v>1</v>
      </c>
      <c r="C13" s="12" t="s">
        <v>462</v>
      </c>
      <c r="D13" s="15" t="n">
        <f aca="false">(1+Допущения!$C$11)^(B13-1)</f>
        <v>1</v>
      </c>
      <c r="E13" s="15" t="n">
        <f aca="false">(1+Допущения!$C$12)^(B13-1)</f>
        <v>1</v>
      </c>
      <c r="F13" s="17" t="n">
        <f aca="false">Допущения!$C$71*E13</f>
        <v>2727.48</v>
      </c>
      <c r="G13" s="17" t="n">
        <f aca="false">MIN(G12*(1+Допущения!$C$33),Допущения!$C$34)</f>
        <v>544195.584</v>
      </c>
      <c r="H13" s="25" t="n">
        <f aca="false">MIN(Допущения!$C$30,G13/Допущения!$C$29)</f>
        <v>200</v>
      </c>
      <c r="I13" s="25" t="n">
        <f aca="false">MAX(0,G13-H13*Допущения!$C$29)/Допущения!$C$31</f>
        <v>32.5594112</v>
      </c>
      <c r="J13" s="25" t="n">
        <f aca="false">IF(A13&gt;=Допущения!$C$35,Допущения!$C$36,0)</f>
        <v>20</v>
      </c>
      <c r="K13" s="25" t="n">
        <f aca="false">H13+I13+J13</f>
        <v>252.5594112</v>
      </c>
      <c r="L13" s="25" t="n">
        <f aca="false">(L12-K12)*(1-Допущения!$C$44)+K12*(1-Допущения!$C$43)+K13</f>
        <v>865.282315093333</v>
      </c>
      <c r="M13" s="25" t="n">
        <f aca="false">IF(A13&gt;=Допущения!$C$38,Допущения!$C$73/Допущения!$C$42*MIN(Допущения!$C$42,A13-Допущения!$C$38+1),0)</f>
        <v>13.3333333333333</v>
      </c>
      <c r="N13" s="25" t="n">
        <f aca="false">N12*(1-Допущения!$C$45)+M13</f>
        <v>19.8666666666667</v>
      </c>
      <c r="O13" s="25" t="n">
        <f aca="false">L13+N13</f>
        <v>885.14898176</v>
      </c>
      <c r="P13" s="25" t="n">
        <f aca="false">L13*Допущения!$C$25</f>
        <v>129.792347264</v>
      </c>
      <c r="Q13" s="25" t="n">
        <f aca="false">L13*(1-Допущения!$C$25)+N13</f>
        <v>755.356634496</v>
      </c>
      <c r="R13" s="17" t="n">
        <f aca="false">MAX(Допущения!$C$18,ROUNDUP(Q13/Допущения!$C$68+P13/Допущения!$C$69,0))</f>
        <v>11</v>
      </c>
      <c r="S13" s="17" t="n">
        <f aca="false">ROUNDUP(R13/Допущения!$C$48,0)</f>
        <v>1</v>
      </c>
      <c r="T13" s="17" t="n">
        <f aca="false">L13*F13/(1+Допущения!$C$6)</f>
        <v>1934459.18751702</v>
      </c>
      <c r="U13" s="17" t="n">
        <f aca="false">N13*Допущения!$C$28*E13/(1+Допущения!$C$6)</f>
        <v>32405.4644808743</v>
      </c>
      <c r="V13" s="17" t="n">
        <f aca="false">O13*Допущения!$C$26*Допущения!$C$27/(1+Допущения!$C$6)</f>
        <v>108829.792839344</v>
      </c>
      <c r="W13" s="17" t="n">
        <f aca="false">T13+U13+V13</f>
        <v>2075694.44483724</v>
      </c>
      <c r="X13" s="17" t="n">
        <f aca="false">J13*Допущения!$C$37</f>
        <v>10000</v>
      </c>
      <c r="Y13" s="17" t="n">
        <f aca="false">(R13*Допущения!$C$47+S13*Допущения!$C$49)*D13*Допущения!$C$9</f>
        <v>1288980</v>
      </c>
      <c r="Z13" s="17" t="n">
        <f aca="false">(MAX(0,R13-R12)+R13*Допущения!$C$50/12)*Допущения!$C$51*D13</f>
        <v>89250</v>
      </c>
      <c r="AA13" s="17" t="n">
        <f aca="false">O13*(Допущения!$C$53+Допущения!$C$54)+(L13*F13+N13*Допущения!$C$28*E13)*Допущения!$C$13</f>
        <v>366271.726100274</v>
      </c>
      <c r="AB13" s="17" t="n">
        <f aca="false">(R13+S13)*Допущения!$C$52</f>
        <v>32400</v>
      </c>
      <c r="AC13" s="17" t="n">
        <f aca="false">SUMPRODUCT(Допущения!$B$84:$B$91,Допущения!$C$84:$C$91,--(Допущения!$D$84:$D$91&lt;=A13))*D13*Допущения!$C$9</f>
        <v>1627500</v>
      </c>
      <c r="AD13" s="17" t="n">
        <f aca="false">(AC13+Y13)*Допущения!$C$14</f>
        <v>291648</v>
      </c>
      <c r="AE13" s="17" t="n">
        <f aca="false">Допущения!$C$55+Допущения!$C$56*O13/1000+Допущения!$C$57</f>
        <v>147081.19185408</v>
      </c>
      <c r="AF13" s="17" t="n">
        <f aca="false">SUMIF(Допущения!$B$95:$B$103,A13,Допущения!$C$95:$C$103)</f>
        <v>500000</v>
      </c>
      <c r="AG13" s="17" t="n">
        <v>0</v>
      </c>
      <c r="AH13" s="17" t="n">
        <f aca="false">G13+SUM(X13:AG13)</f>
        <v>4897326.50195435</v>
      </c>
      <c r="AI13" s="17" t="n">
        <f aca="false">W13-AH13</f>
        <v>-2821632.05711712</v>
      </c>
      <c r="AJ13" s="17" t="n">
        <f aca="false">AJ12+AI13</f>
        <v>-19813617.3777517</v>
      </c>
      <c r="AK13" s="17" t="n">
        <f aca="false">O13*Допущения!$C$58*Допущения!$C$59</f>
        <v>14604.95819904</v>
      </c>
      <c r="AL13" s="17" t="n">
        <f aca="false">T13*Допущения!$C$72</f>
        <v>97535.7573537993</v>
      </c>
      <c r="AM13" s="17" t="n">
        <f aca="false">IF(MOD(A13,12)=0,INDEX($F$70:$F$74,B13),0)</f>
        <v>0</v>
      </c>
      <c r="AN13" s="17" t="n">
        <f aca="false">AI13-AM13</f>
        <v>-2821632.05711712</v>
      </c>
      <c r="AO13" s="26" t="n">
        <f aca="false">1/(1+Допущения!$C$74)^A13</f>
        <v>0.875844041105637</v>
      </c>
      <c r="AP13" s="21" t="str">
        <f aca="false">IF(AND(A13&gt;Допущения!$C$19,MIN(AI13:AI$65)&gt;0),A13,"")</f>
        <v/>
      </c>
      <c r="AQ13" s="21" t="str">
        <f aca="false">IF(MIN(AJ13:AJ$65)&gt;0,A13,"")</f>
        <v/>
      </c>
    </row>
    <row r="14" customFormat="false" ht="15" hidden="false" customHeight="false" outlineLevel="0" collapsed="false">
      <c r="A14" s="28" t="n">
        <v>9</v>
      </c>
      <c r="B14" s="28" t="n">
        <f aca="false">INT((A14-1)/12)+1</f>
        <v>1</v>
      </c>
      <c r="C14" s="12" t="s">
        <v>462</v>
      </c>
      <c r="D14" s="15" t="n">
        <f aca="false">(1+Допущения!$C$11)^(B14-1)</f>
        <v>1</v>
      </c>
      <c r="E14" s="15" t="n">
        <f aca="false">(1+Допущения!$C$12)^(B14-1)</f>
        <v>1</v>
      </c>
      <c r="F14" s="17" t="n">
        <f aca="false">Допущения!$C$71*E14</f>
        <v>2727.48</v>
      </c>
      <c r="G14" s="17" t="n">
        <f aca="false">MIN(G13*(1+Допущения!$C$33),Допущения!$C$34)</f>
        <v>587731.23072</v>
      </c>
      <c r="H14" s="25" t="n">
        <f aca="false">MIN(Допущения!$C$30,G14/Допущения!$C$29)</f>
        <v>200</v>
      </c>
      <c r="I14" s="25" t="n">
        <f aca="false">MAX(0,G14-H14*Допущения!$C$29)/Допущения!$C$31</f>
        <v>38.364164096</v>
      </c>
      <c r="J14" s="25" t="n">
        <f aca="false">IF(A14&gt;=Допущения!$C$35,Допущения!$C$36,0)</f>
        <v>20</v>
      </c>
      <c r="K14" s="25" t="n">
        <f aca="false">H14+I14+J14</f>
        <v>258.364164096</v>
      </c>
      <c r="L14" s="25" t="n">
        <f aca="false">(L13-K13)*(1-Допущения!$C$44)+K13*(1-Допущения!$C$43)+K14</f>
        <v>986.232852957867</v>
      </c>
      <c r="M14" s="25" t="n">
        <f aca="false">IF(A14&gt;=Допущения!$C$38,Допущения!$C$73/Допущения!$C$42*MIN(Допущения!$C$42,A14-Допущения!$C$38+1),0)</f>
        <v>20</v>
      </c>
      <c r="N14" s="25" t="n">
        <f aca="false">N13*(1-Допущения!$C$45)+M14</f>
        <v>39.4693333333333</v>
      </c>
      <c r="O14" s="25" t="n">
        <f aca="false">L14+N14</f>
        <v>1025.7021862912</v>
      </c>
      <c r="P14" s="25" t="n">
        <f aca="false">L14*Допущения!$C$25</f>
        <v>147.93492794368</v>
      </c>
      <c r="Q14" s="25" t="n">
        <f aca="false">L14*(1-Допущения!$C$25)+N14</f>
        <v>877.76725834752</v>
      </c>
      <c r="R14" s="17" t="n">
        <f aca="false">MAX(Допущения!$C$18,ROUNDUP(Q14/Допущения!$C$68+P14/Допущения!$C$69,0))</f>
        <v>13</v>
      </c>
      <c r="S14" s="17" t="n">
        <f aca="false">ROUNDUP(R14/Допущения!$C$48,0)</f>
        <v>2</v>
      </c>
      <c r="T14" s="17" t="n">
        <f aca="false">L14*F14/(1+Допущения!$C$6)</f>
        <v>2204860.96867666</v>
      </c>
      <c r="U14" s="17" t="n">
        <f aca="false">N14*Допущения!$C$28*E14/(1+Допущения!$C$6)</f>
        <v>64380.306010929</v>
      </c>
      <c r="V14" s="17" t="n">
        <f aca="false">O14*Допущения!$C$26*Допущения!$C$27/(1+Допущения!$C$6)</f>
        <v>126110.924544</v>
      </c>
      <c r="W14" s="17" t="n">
        <f aca="false">T14+U14+V14</f>
        <v>2395352.19923159</v>
      </c>
      <c r="X14" s="17" t="n">
        <f aca="false">J14*Допущения!$C$37</f>
        <v>10000</v>
      </c>
      <c r="Y14" s="17" t="n">
        <f aca="false">(R14*Допущения!$C$47+S14*Допущения!$C$49)*D14*Допущения!$C$9</f>
        <v>1640520</v>
      </c>
      <c r="Z14" s="17" t="n">
        <f aca="false">(MAX(0,R14-R13)+R14*Допущения!$C$50/12)*Допущения!$C$51*D14</f>
        <v>162750</v>
      </c>
      <c r="AA14" s="17" t="n">
        <f aca="false">O14*(Допущения!$C$53+Допущения!$C$54)+(L14*F14+N14*Допущения!$C$28*E14)*Допущения!$C$13</f>
        <v>424213.836388427</v>
      </c>
      <c r="AB14" s="17" t="n">
        <f aca="false">(R14+S14)*Допущения!$C$52</f>
        <v>40500</v>
      </c>
      <c r="AC14" s="17" t="n">
        <f aca="false">SUMPRODUCT(Допущения!$B$84:$B$91,Допущения!$C$84:$C$91,--(Допущения!$D$84:$D$91&lt;=A14))*D14*Допущения!$C$9</f>
        <v>1627500</v>
      </c>
      <c r="AD14" s="17" t="n">
        <f aca="false">(AC14+Y14)*Допущения!$C$14</f>
        <v>326802</v>
      </c>
      <c r="AE14" s="17" t="n">
        <f aca="false">Допущения!$C$55+Допущения!$C$56*O14/1000+Допущения!$C$57</f>
        <v>148205.61749033</v>
      </c>
      <c r="AF14" s="17" t="n">
        <f aca="false">SUMIF(Допущения!$B$95:$B$103,A14,Допущения!$C$95:$C$103)</f>
        <v>500000</v>
      </c>
      <c r="AG14" s="17" t="n">
        <v>0</v>
      </c>
      <c r="AH14" s="17" t="n">
        <f aca="false">G14+SUM(X14:AG14)</f>
        <v>5468222.68459876</v>
      </c>
      <c r="AI14" s="17" t="n">
        <f aca="false">W14-AH14</f>
        <v>-3072870.48536717</v>
      </c>
      <c r="AJ14" s="17" t="n">
        <f aca="false">AJ13+AI14</f>
        <v>-22886487.8631189</v>
      </c>
      <c r="AK14" s="17" t="n">
        <f aca="false">O14*Допущения!$C$58*Допущения!$C$59</f>
        <v>16924.0860738048</v>
      </c>
      <c r="AL14" s="17" t="n">
        <f aca="false">T14*Допущения!$C$72</f>
        <v>111169.460605546</v>
      </c>
      <c r="AM14" s="17" t="n">
        <f aca="false">IF(MOD(A14,12)=0,INDEX($F$70:$F$74,B14),0)</f>
        <v>0</v>
      </c>
      <c r="AN14" s="17" t="n">
        <f aca="false">AI14-AM14</f>
        <v>-3072870.48536717</v>
      </c>
      <c r="AO14" s="26" t="n">
        <f aca="false">1/(1+Допущения!$C$74)^A14</f>
        <v>0.861450102465046</v>
      </c>
      <c r="AP14" s="21" t="str">
        <f aca="false">IF(AND(A14&gt;Допущения!$C$19,MIN(AI14:AI$65)&gt;0),A14,"")</f>
        <v/>
      </c>
      <c r="AQ14" s="21" t="str">
        <f aca="false">IF(MIN(AJ14:AJ$65)&gt;0,A14,"")</f>
        <v/>
      </c>
    </row>
    <row r="15" customFormat="false" ht="15" hidden="false" customHeight="false" outlineLevel="0" collapsed="false">
      <c r="A15" s="28" t="n">
        <v>10</v>
      </c>
      <c r="B15" s="28" t="n">
        <f aca="false">INT((A15-1)/12)+1</f>
        <v>1</v>
      </c>
      <c r="C15" s="12" t="s">
        <v>462</v>
      </c>
      <c r="D15" s="15" t="n">
        <f aca="false">(1+Допущения!$C$11)^(B15-1)</f>
        <v>1</v>
      </c>
      <c r="E15" s="15" t="n">
        <f aca="false">(1+Допущения!$C$12)^(B15-1)</f>
        <v>1</v>
      </c>
      <c r="F15" s="17" t="n">
        <f aca="false">Допущения!$C$71*E15</f>
        <v>2727.48</v>
      </c>
      <c r="G15" s="17" t="n">
        <f aca="false">MIN(G14*(1+Допущения!$C$33),Допущения!$C$34)</f>
        <v>634749.7291776</v>
      </c>
      <c r="H15" s="25" t="n">
        <f aca="false">MIN(Допущения!$C$30,G15/Допущения!$C$29)</f>
        <v>200</v>
      </c>
      <c r="I15" s="25" t="n">
        <f aca="false">MAX(0,G15-H15*Допущения!$C$29)/Допущения!$C$31</f>
        <v>44.63329722368</v>
      </c>
      <c r="J15" s="25" t="n">
        <f aca="false">IF(A15&gt;=Допущения!$C$35,Допущения!$C$36,0)</f>
        <v>20</v>
      </c>
      <c r="K15" s="25" t="n">
        <f aca="false">H15+I15+J15</f>
        <v>264.63329722368</v>
      </c>
      <c r="L15" s="25" t="n">
        <f aca="false">(L14-K14)*(1-Допущения!$C$44)+K14*(1-Допущения!$C$43)+K15</f>
        <v>1102.209197639</v>
      </c>
      <c r="M15" s="25" t="n">
        <f aca="false">IF(A15&gt;=Допущения!$C$38,Допущения!$C$73/Допущения!$C$42*MIN(Допущения!$C$42,A15-Допущения!$C$38+1),0)</f>
        <v>20</v>
      </c>
      <c r="N15" s="25" t="n">
        <f aca="false">N14*(1-Допущения!$C$45)+M15</f>
        <v>58.6799466666667</v>
      </c>
      <c r="O15" s="25" t="n">
        <f aca="false">L15+N15</f>
        <v>1160.88914430566</v>
      </c>
      <c r="P15" s="25" t="n">
        <f aca="false">L15*Допущения!$C$25</f>
        <v>165.33137964585</v>
      </c>
      <c r="Q15" s="25" t="n">
        <f aca="false">L15*(1-Допущения!$C$25)+N15</f>
        <v>995.557764659814</v>
      </c>
      <c r="R15" s="17" t="n">
        <f aca="false">MAX(Допущения!$C$18,ROUNDUP(Q15/Допущения!$C$68+P15/Допущения!$C$69,0))</f>
        <v>15</v>
      </c>
      <c r="S15" s="17" t="n">
        <f aca="false">ROUNDUP(R15/Допущения!$C$48,0)</f>
        <v>2</v>
      </c>
      <c r="T15" s="17" t="n">
        <f aca="false">L15*F15/(1+Допущения!$C$6)</f>
        <v>2464142.24784952</v>
      </c>
      <c r="U15" s="17" t="n">
        <f aca="false">N15*Допущения!$C$28*E15/(1+Допущения!$C$6)</f>
        <v>95715.6507103825</v>
      </c>
      <c r="V15" s="17" t="n">
        <f aca="false">O15*Допущения!$C$26*Допущения!$C$27/(1+Допущения!$C$6)</f>
        <v>142732.27184086</v>
      </c>
      <c r="W15" s="17" t="n">
        <f aca="false">T15+U15+V15</f>
        <v>2702590.17040076</v>
      </c>
      <c r="X15" s="17" t="n">
        <f aca="false">J15*Допущения!$C$37</f>
        <v>10000</v>
      </c>
      <c r="Y15" s="17" t="n">
        <f aca="false">(R15*Допущения!$C$47+S15*Допущения!$C$49)*D15*Допущения!$C$9</f>
        <v>1848840</v>
      </c>
      <c r="Z15" s="17" t="n">
        <f aca="false">(MAX(0,R15-R14)+R15*Допущения!$C$50/12)*Допущения!$C$51*D15</f>
        <v>166250</v>
      </c>
      <c r="AA15" s="17" t="n">
        <f aca="false">O15*(Допущения!$C$53+Допущения!$C$54)+(L15*F15+N15*Допущения!$C$28*E15)*Допущения!$C$13</f>
        <v>479939.017123943</v>
      </c>
      <c r="AB15" s="17" t="n">
        <f aca="false">(R15+S15)*Допущения!$C$52</f>
        <v>45900</v>
      </c>
      <c r="AC15" s="17" t="n">
        <f aca="false">SUMPRODUCT(Допущения!$B$84:$B$91,Допущения!$C$84:$C$91,--(Допущения!$D$84:$D$91&lt;=A15))*D15*Допущения!$C$9</f>
        <v>1966020</v>
      </c>
      <c r="AD15" s="17" t="n">
        <f aca="false">(AC15+Y15)*Допущения!$C$14</f>
        <v>381486</v>
      </c>
      <c r="AE15" s="17" t="n">
        <f aca="false">Допущения!$C$55+Допущения!$C$56*O15/1000+Допущения!$C$57</f>
        <v>149287.113154445</v>
      </c>
      <c r="AF15" s="17" t="n">
        <f aca="false">SUMIF(Допущения!$B$95:$B$103,A15,Допущения!$C$95:$C$103)</f>
        <v>350000</v>
      </c>
      <c r="AG15" s="17" t="n">
        <v>0</v>
      </c>
      <c r="AH15" s="17" t="n">
        <f aca="false">G15+SUM(X15:AG15)</f>
        <v>6032471.85945599</v>
      </c>
      <c r="AI15" s="17" t="n">
        <f aca="false">W15-AH15</f>
        <v>-3329881.68905523</v>
      </c>
      <c r="AJ15" s="17" t="n">
        <f aca="false">AJ14+AI15</f>
        <v>-26216369.5521741</v>
      </c>
      <c r="AK15" s="17" t="n">
        <f aca="false">O15*Допущения!$C$58*Допущения!$C$59</f>
        <v>19154.6708810435</v>
      </c>
      <c r="AL15" s="17" t="n">
        <f aca="false">T15*Допущения!$C$72</f>
        <v>124242.466278127</v>
      </c>
      <c r="AM15" s="17" t="n">
        <f aca="false">IF(MOD(A15,12)=0,INDEX($F$70:$F$74,B15),0)</f>
        <v>0</v>
      </c>
      <c r="AN15" s="17" t="n">
        <f aca="false">AI15-AM15</f>
        <v>-3329881.68905523</v>
      </c>
      <c r="AO15" s="26" t="n">
        <f aca="false">1/(1+Допущения!$C$74)^A15</f>
        <v>0.847292719032763</v>
      </c>
      <c r="AP15" s="21" t="str">
        <f aca="false">IF(AND(A15&gt;Допущения!$C$19,MIN(AI15:AI$65)&gt;0),A15,"")</f>
        <v/>
      </c>
      <c r="AQ15" s="21" t="str">
        <f aca="false">IF(MIN(AJ15:AJ$65)&gt;0,A15,"")</f>
        <v/>
      </c>
    </row>
    <row r="16" customFormat="false" ht="15" hidden="false" customHeight="false" outlineLevel="0" collapsed="false">
      <c r="A16" s="28" t="n">
        <v>11</v>
      </c>
      <c r="B16" s="28" t="n">
        <f aca="false">INT((A16-1)/12)+1</f>
        <v>1</v>
      </c>
      <c r="C16" s="12" t="s">
        <v>462</v>
      </c>
      <c r="D16" s="15" t="n">
        <f aca="false">(1+Допущения!$C$11)^(B16-1)</f>
        <v>1</v>
      </c>
      <c r="E16" s="15" t="n">
        <f aca="false">(1+Допущения!$C$12)^(B16-1)</f>
        <v>1</v>
      </c>
      <c r="F16" s="17" t="n">
        <f aca="false">Допущения!$C$71*E16</f>
        <v>2727.48</v>
      </c>
      <c r="G16" s="17" t="n">
        <f aca="false">MIN(G15*(1+Допущения!$C$33),Допущения!$C$34)</f>
        <v>685529.707511808</v>
      </c>
      <c r="H16" s="25" t="n">
        <f aca="false">MIN(Допущения!$C$30,G16/Допущения!$C$29)</f>
        <v>200</v>
      </c>
      <c r="I16" s="25" t="n">
        <f aca="false">MAX(0,G16-H16*Допущения!$C$29)/Допущения!$C$31</f>
        <v>51.4039610015744</v>
      </c>
      <c r="J16" s="25" t="n">
        <f aca="false">IF(A16&gt;=Допущения!$C$35,Допущения!$C$36,0)</f>
        <v>20</v>
      </c>
      <c r="K16" s="25" t="n">
        <f aca="false">H16+I16+J16</f>
        <v>271.403961001574</v>
      </c>
      <c r="L16" s="25" t="n">
        <f aca="false">(L15-K15)*(1-Допущения!$C$44)+K15*(1-Допущения!$C$43)+K16</f>
        <v>1213.98543257906</v>
      </c>
      <c r="M16" s="25" t="n">
        <f aca="false">IF(A16&gt;=Допущения!$C$38,Допущения!$C$73/Допущения!$C$42*MIN(Допущения!$C$42,A16-Допущения!$C$38+1),0)</f>
        <v>20</v>
      </c>
      <c r="N16" s="25" t="n">
        <f aca="false">N15*(1-Допущения!$C$45)+M16</f>
        <v>77.5063477333333</v>
      </c>
      <c r="O16" s="25" t="n">
        <f aca="false">L16+N16</f>
        <v>1291.49178031239</v>
      </c>
      <c r="P16" s="25" t="n">
        <f aca="false">L16*Допущения!$C$25</f>
        <v>182.097814886859</v>
      </c>
      <c r="Q16" s="25" t="n">
        <f aca="false">L16*(1-Допущения!$C$25)+N16</f>
        <v>1109.39396542553</v>
      </c>
      <c r="R16" s="17" t="n">
        <f aca="false">MAX(Допущения!$C$18,ROUNDUP(Q16/Допущения!$C$68+P16/Допущения!$C$69,0))</f>
        <v>16</v>
      </c>
      <c r="S16" s="17" t="n">
        <f aca="false">ROUNDUP(R16/Допущения!$C$48,0)</f>
        <v>2</v>
      </c>
      <c r="T16" s="17" t="n">
        <f aca="false">L16*F16/(1+Допущения!$C$6)</f>
        <v>2714033.59643503</v>
      </c>
      <c r="U16" s="17" t="n">
        <f aca="false">N16*Допущения!$C$28*E16/(1+Допущения!$C$6)</f>
        <v>126424.288515847</v>
      </c>
      <c r="V16" s="17" t="n">
        <f aca="false">O16*Допущения!$C$26*Допущения!$C$27/(1+Допущения!$C$6)</f>
        <v>158789.972989229</v>
      </c>
      <c r="W16" s="17" t="n">
        <f aca="false">T16+U16+V16</f>
        <v>2999247.8579401</v>
      </c>
      <c r="X16" s="17" t="n">
        <f aca="false">J16*Допущения!$C$37</f>
        <v>10000</v>
      </c>
      <c r="Y16" s="17" t="n">
        <f aca="false">(R16*Допущения!$C$47+S16*Допущения!$C$49)*D16*Допущения!$C$9</f>
        <v>1953000</v>
      </c>
      <c r="Z16" s="17" t="n">
        <f aca="false">(MAX(0,R16-R15)+R16*Допущения!$C$50/12)*Допущения!$C$51*D16</f>
        <v>98000</v>
      </c>
      <c r="AA16" s="17" t="n">
        <f aca="false">O16*(Допущения!$C$53+Допущения!$C$54)+(L16*F16+N16*Допущения!$C$28*E16)*Допущения!$C$13</f>
        <v>533770.954967544</v>
      </c>
      <c r="AB16" s="17" t="n">
        <f aca="false">(R16+S16)*Допущения!$C$52</f>
        <v>48600</v>
      </c>
      <c r="AC16" s="17" t="n">
        <f aca="false">SUMPRODUCT(Допущения!$B$84:$B$91,Допущения!$C$84:$C$91,--(Допущения!$D$84:$D$91&lt;=A16))*D16*Допущения!$C$9</f>
        <v>1966020</v>
      </c>
      <c r="AD16" s="17" t="n">
        <f aca="false">(AC16+Y16)*Допущения!$C$14</f>
        <v>391902</v>
      </c>
      <c r="AE16" s="17" t="n">
        <f aca="false">Допущения!$C$55+Допущения!$C$56*O16/1000+Допущения!$C$57</f>
        <v>150331.934242499</v>
      </c>
      <c r="AF16" s="17" t="n">
        <f aca="false">SUMIF(Допущения!$B$95:$B$103,A16,Допущения!$C$95:$C$103)</f>
        <v>350000</v>
      </c>
      <c r="AG16" s="17" t="n">
        <v>0</v>
      </c>
      <c r="AH16" s="17" t="n">
        <f aca="false">G16+SUM(X16:AG16)</f>
        <v>6187154.59672185</v>
      </c>
      <c r="AI16" s="17" t="n">
        <f aca="false">W16-AH16</f>
        <v>-3187906.73878175</v>
      </c>
      <c r="AJ16" s="17" t="n">
        <f aca="false">AJ15+AI16</f>
        <v>-29404276.2909559</v>
      </c>
      <c r="AK16" s="17" t="n">
        <f aca="false">O16*Допущения!$C$58*Допущения!$C$59</f>
        <v>21309.6143751545</v>
      </c>
      <c r="AL16" s="17" t="n">
        <f aca="false">T16*Допущения!$C$72</f>
        <v>136842.030072354</v>
      </c>
      <c r="AM16" s="17" t="n">
        <f aca="false">IF(MOD(A16,12)=0,INDEX($F$70:$F$74,B16),0)</f>
        <v>0</v>
      </c>
      <c r="AN16" s="17" t="n">
        <f aca="false">AI16-AM16</f>
        <v>-3187906.73878175</v>
      </c>
      <c r="AO16" s="26" t="n">
        <f aca="false">1/(1+Допущения!$C$74)^A16</f>
        <v>0.833368003174696</v>
      </c>
      <c r="AP16" s="21" t="str">
        <f aca="false">IF(AND(A16&gt;Допущения!$C$19,MIN(AI16:AI$65)&gt;0),A16,"")</f>
        <v/>
      </c>
      <c r="AQ16" s="21" t="str">
        <f aca="false">IF(MIN(AJ16:AJ$65)&gt;0,A16,"")</f>
        <v/>
      </c>
    </row>
    <row r="17" customFormat="false" ht="15" hidden="false" customHeight="false" outlineLevel="0" collapsed="false">
      <c r="A17" s="28" t="n">
        <v>12</v>
      </c>
      <c r="B17" s="28" t="n">
        <f aca="false">INT((A17-1)/12)+1</f>
        <v>1</v>
      </c>
      <c r="C17" s="12" t="s">
        <v>462</v>
      </c>
      <c r="D17" s="15" t="n">
        <f aca="false">(1+Допущения!$C$11)^(B17-1)</f>
        <v>1</v>
      </c>
      <c r="E17" s="15" t="n">
        <f aca="false">(1+Допущения!$C$12)^(B17-1)</f>
        <v>1</v>
      </c>
      <c r="F17" s="17" t="n">
        <f aca="false">Допущения!$C$71*E17</f>
        <v>2727.48</v>
      </c>
      <c r="G17" s="17" t="n">
        <f aca="false">MIN(G16*(1+Допущения!$C$33),Допущения!$C$34)</f>
        <v>740372.084112753</v>
      </c>
      <c r="H17" s="25" t="n">
        <f aca="false">MIN(Допущения!$C$30,G17/Допущения!$C$29)</f>
        <v>200</v>
      </c>
      <c r="I17" s="25" t="n">
        <f aca="false">MAX(0,G17-H17*Допущения!$C$29)/Допущения!$C$31</f>
        <v>58.7162778817004</v>
      </c>
      <c r="J17" s="25" t="n">
        <f aca="false">IF(A17&gt;=Допущения!$C$35,Допущения!$C$36,0)</f>
        <v>20</v>
      </c>
      <c r="K17" s="25" t="n">
        <f aca="false">H17+I17+J17</f>
        <v>278.7162778817</v>
      </c>
      <c r="L17" s="25" t="n">
        <f aca="false">(L16-K16)*(1-Допущения!$C$44)+K16*(1-Допущения!$C$43)+K17</f>
        <v>1322.30380638401</v>
      </c>
      <c r="M17" s="25" t="n">
        <f aca="false">IF(A17&gt;=Допущения!$C$38,Допущения!$C$73/Допущения!$C$42*MIN(Допущения!$C$42,A17-Допущения!$C$38+1),0)</f>
        <v>20</v>
      </c>
      <c r="N17" s="25" t="n">
        <f aca="false">N16*(1-Допущения!$C$45)+M17</f>
        <v>95.9562207786667</v>
      </c>
      <c r="O17" s="25" t="n">
        <f aca="false">L17+N17</f>
        <v>1418.26002716268</v>
      </c>
      <c r="P17" s="25" t="n">
        <f aca="false">L17*Допущения!$C$25</f>
        <v>198.345570957601</v>
      </c>
      <c r="Q17" s="25" t="n">
        <f aca="false">L17*(1-Допущения!$C$25)+N17</f>
        <v>1219.91445620507</v>
      </c>
      <c r="R17" s="17" t="n">
        <f aca="false">MAX(Допущения!$C$18,ROUNDUP(Q17/Допущения!$C$68+P17/Допущения!$C$69,0))</f>
        <v>18</v>
      </c>
      <c r="S17" s="17" t="n">
        <f aca="false">ROUNDUP(R17/Допущения!$C$48,0)</f>
        <v>2</v>
      </c>
      <c r="T17" s="17" t="n">
        <f aca="false">L17*F17/(1+Допущения!$C$6)</f>
        <v>2956194.41461988</v>
      </c>
      <c r="U17" s="17" t="n">
        <f aca="false">N17*Допущения!$C$28*E17/(1+Допущения!$C$6)</f>
        <v>156518.753565202</v>
      </c>
      <c r="V17" s="17" t="n">
        <f aca="false">O17*Допущения!$C$26*Допущения!$C$27/(1+Допущения!$C$6)</f>
        <v>174376.23284787</v>
      </c>
      <c r="W17" s="17" t="n">
        <f aca="false">T17+U17+V17</f>
        <v>3287089.40103295</v>
      </c>
      <c r="X17" s="17" t="n">
        <f aca="false">J17*Допущения!$C$37</f>
        <v>10000</v>
      </c>
      <c r="Y17" s="17" t="n">
        <f aca="false">(R17*Допущения!$C$47+S17*Допущения!$C$49)*D17*Допущения!$C$9</f>
        <v>2161320</v>
      </c>
      <c r="Z17" s="17" t="n">
        <f aca="false">(MAX(0,R17-R16)+R17*Допущения!$C$50/12)*Допущения!$C$51*D17</f>
        <v>171500</v>
      </c>
      <c r="AA17" s="17" t="n">
        <f aca="false">O17*(Допущения!$C$53+Допущения!$C$54)+(L17*F17+N17*Допущения!$C$28*E17)*Допущения!$C$13</f>
        <v>586020.091087721</v>
      </c>
      <c r="AB17" s="17" t="n">
        <f aca="false">(R17+S17)*Допущения!$C$52</f>
        <v>54000</v>
      </c>
      <c r="AC17" s="17" t="n">
        <f aca="false">SUMPRODUCT(Допущения!$B$84:$B$91,Допущения!$C$84:$C$91,--(Допущения!$D$84:$D$91&lt;=A17))*D17*Допущения!$C$9</f>
        <v>1966020</v>
      </c>
      <c r="AD17" s="17" t="n">
        <f aca="false">(AC17+Y17)*Допущения!$C$14</f>
        <v>412734</v>
      </c>
      <c r="AE17" s="17" t="n">
        <f aca="false">Допущения!$C$55+Допущения!$C$56*O17/1000+Допущения!$C$57</f>
        <v>151346.080217301</v>
      </c>
      <c r="AF17" s="17" t="n">
        <f aca="false">SUMIF(Допущения!$B$95:$B$103,A17,Допущения!$C$95:$C$103)</f>
        <v>300000</v>
      </c>
      <c r="AG17" s="17" t="n">
        <v>0</v>
      </c>
      <c r="AH17" s="17" t="n">
        <f aca="false">G17+SUM(X17:AG17)</f>
        <v>6553312.25541778</v>
      </c>
      <c r="AI17" s="17" t="n">
        <f aca="false">W17-AH17</f>
        <v>-3266222.85438482</v>
      </c>
      <c r="AJ17" s="17" t="n">
        <f aca="false">AJ16+AI17</f>
        <v>-32670499.1453407</v>
      </c>
      <c r="AK17" s="17" t="n">
        <f aca="false">O17*Допущения!$C$58*Допущения!$C$59</f>
        <v>23401.2904481842</v>
      </c>
      <c r="AL17" s="17" t="n">
        <f aca="false">T17*Допущения!$C$72</f>
        <v>149051.819224532</v>
      </c>
      <c r="AM17" s="17" t="n">
        <f aca="false">IF(MOD(A17,12)=0,INDEX($F$70:$F$74,B17),0)</f>
        <v>0</v>
      </c>
      <c r="AN17" s="17" t="n">
        <f aca="false">AI17-AM17</f>
        <v>-3266222.85438482</v>
      </c>
      <c r="AO17" s="26" t="n">
        <f aca="false">1/(1+Допущения!$C$74)^A17</f>
        <v>0.819672131147542</v>
      </c>
      <c r="AP17" s="21" t="str">
        <f aca="false">IF(AND(A17&gt;Допущения!$C$19,MIN(AI17:AI$65)&gt;0),A17,"")</f>
        <v/>
      </c>
      <c r="AQ17" s="21" t="str">
        <f aca="false">IF(MIN(AJ17:AJ$65)&gt;0,A17,"")</f>
        <v/>
      </c>
    </row>
    <row r="18" customFormat="false" ht="15" hidden="false" customHeight="false" outlineLevel="0" collapsed="false">
      <c r="A18" s="28" t="n">
        <v>13</v>
      </c>
      <c r="B18" s="28" t="n">
        <f aca="false">INT((A18-1)/12)+1</f>
        <v>2</v>
      </c>
      <c r="C18" s="12" t="s">
        <v>462</v>
      </c>
      <c r="D18" s="15" t="n">
        <f aca="false">(1+Допущения!$C$11)^(B18-1)</f>
        <v>1.08</v>
      </c>
      <c r="E18" s="15" t="n">
        <f aca="false">(1+Допущения!$C$12)^(B18-1)</f>
        <v>1.07</v>
      </c>
      <c r="F18" s="17" t="n">
        <f aca="false">Допущения!$C$71*E18</f>
        <v>2918.4036</v>
      </c>
      <c r="G18" s="17" t="n">
        <f aca="false">MIN(G17*(1+Допущения!$C$33),Допущения!$C$34)</f>
        <v>799601.850841773</v>
      </c>
      <c r="H18" s="25" t="n">
        <f aca="false">MIN(Допущения!$C$30,G18/Допущения!$C$29)</f>
        <v>200</v>
      </c>
      <c r="I18" s="25" t="n">
        <f aca="false">MAX(0,G18-H18*Допущения!$C$29)/Допущения!$C$31</f>
        <v>66.6135801122364</v>
      </c>
      <c r="J18" s="25" t="n">
        <f aca="false">IF(A18&gt;=Допущения!$C$35,Допущения!$C$36,0)</f>
        <v>20</v>
      </c>
      <c r="K18" s="25" t="n">
        <f aca="false">H18+I18+J18</f>
        <v>286.613580112236</v>
      </c>
      <c r="L18" s="25" t="n">
        <f aca="false">(L17-K17)*(1-Допущения!$C$44)+K17*(1-Допущения!$C$43)+K18</f>
        <v>1427.87968695747</v>
      </c>
      <c r="M18" s="25" t="n">
        <f aca="false">IF(A18&gt;=Допущения!$C$38,Допущения!$C$73/Допущения!$C$42*MIN(Допущения!$C$42,A18-Допущения!$C$38+1),0)</f>
        <v>20</v>
      </c>
      <c r="N18" s="25" t="n">
        <f aca="false">N17*(1-Допущения!$C$45)+M18</f>
        <v>114.037096363093</v>
      </c>
      <c r="O18" s="25" t="n">
        <f aca="false">L18+N18</f>
        <v>1541.91678332056</v>
      </c>
      <c r="P18" s="25" t="n">
        <f aca="false">L18*Допущения!$C$25</f>
        <v>214.18195304362</v>
      </c>
      <c r="Q18" s="25" t="n">
        <f aca="false">L18*(1-Допущения!$C$25)+N18</f>
        <v>1327.73483027694</v>
      </c>
      <c r="R18" s="17" t="n">
        <f aca="false">MAX(Допущения!$C$18,ROUNDUP(Q18/Допущения!$C$68+P18/Допущения!$C$69,0))</f>
        <v>19</v>
      </c>
      <c r="S18" s="17" t="n">
        <f aca="false">ROUNDUP(R18/Допущения!$C$48,0)</f>
        <v>2</v>
      </c>
      <c r="T18" s="17" t="n">
        <f aca="false">L18*F18/(1+Допущения!$C$6)</f>
        <v>3415679.68752749</v>
      </c>
      <c r="U18" s="17" t="n">
        <f aca="false">N18*Допущения!$C$28*E18/(1+Допущения!$C$6)</f>
        <v>199032.12236552</v>
      </c>
      <c r="V18" s="17" t="n">
        <f aca="false">O18*Допущения!$C$26*Допущения!$C$27/(1+Допущения!$C$6)</f>
        <v>189579.932375479</v>
      </c>
      <c r="W18" s="17" t="n">
        <f aca="false">T18+U18+V18</f>
        <v>3804291.74226849</v>
      </c>
      <c r="X18" s="17" t="n">
        <f aca="false">J18*Допущения!$C$37</f>
        <v>10000</v>
      </c>
      <c r="Y18" s="17" t="n">
        <f aca="false">(R18*Допущения!$C$47+S18*Допущения!$C$49)*D18*Допущения!$C$9</f>
        <v>2446718.4</v>
      </c>
      <c r="Z18" s="17" t="n">
        <f aca="false">(MAX(0,R18-R17)+R18*Допущения!$C$50/12)*Допущения!$C$51*D18</f>
        <v>111510</v>
      </c>
      <c r="AA18" s="17" t="n">
        <f aca="false">O18*(Допущения!$C$53+Допущения!$C$54)+(L18*F18+N18*Допущения!$C$28*E18)*Допущения!$C$13</f>
        <v>642178.697257255</v>
      </c>
      <c r="AB18" s="17" t="n">
        <f aca="false">(R18+S18)*Допущения!$C$52</f>
        <v>56700</v>
      </c>
      <c r="AC18" s="17" t="n">
        <f aca="false">SUMPRODUCT(Допущения!$B$84:$B$91,Допущения!$C$84:$C$91,--(Допущения!$D$84:$D$91&lt;=A18))*D18*Допущения!$C$9</f>
        <v>2123301.6</v>
      </c>
      <c r="AD18" s="17" t="n">
        <f aca="false">(AC18+Y18)*Допущения!$C$14</f>
        <v>457002</v>
      </c>
      <c r="AE18" s="17" t="n">
        <f aca="false">Допущения!$C$55+Допущения!$C$56*O18/1000+Допущения!$C$57</f>
        <v>152335.334266564</v>
      </c>
      <c r="AF18" s="17" t="n">
        <f aca="false">SUMIF(Допущения!$B$95:$B$103,A18,Допущения!$C$95:$C$103)</f>
        <v>0</v>
      </c>
      <c r="AG18" s="17" t="n">
        <v>0</v>
      </c>
      <c r="AH18" s="17" t="n">
        <f aca="false">G18+SUM(X18:AG18)</f>
        <v>6799347.88236559</v>
      </c>
      <c r="AI18" s="17" t="n">
        <f aca="false">W18-AH18</f>
        <v>-2995056.1400971</v>
      </c>
      <c r="AJ18" s="17" t="n">
        <f aca="false">AJ17+AI18</f>
        <v>-35665555.2854378</v>
      </c>
      <c r="AK18" s="17" t="n">
        <f aca="false">O18*Допущения!$C$58*Допущения!$C$59</f>
        <v>25441.6269247892</v>
      </c>
      <c r="AL18" s="17" t="n">
        <f aca="false">T18*Допущения!$C$72</f>
        <v>172219.143908949</v>
      </c>
      <c r="AM18" s="17" t="n">
        <f aca="false">IF(MOD(A18,12)=0,INDEX($F$70:$F$74,B18),0)</f>
        <v>0</v>
      </c>
      <c r="AN18" s="17" t="n">
        <f aca="false">AI18-AM18</f>
        <v>-2995056.1400971</v>
      </c>
      <c r="AO18" s="26" t="n">
        <f aca="false">1/(1+Допущения!$C$74)^A18</f>
        <v>0.806201342048782</v>
      </c>
      <c r="AP18" s="21" t="str">
        <f aca="false">IF(AND(A18&gt;Допущения!$C$19,MIN(AI18:AI$65)&gt;0),A18,"")</f>
        <v/>
      </c>
      <c r="AQ18" s="21" t="str">
        <f aca="false">IF(MIN(AJ18:AJ$65)&gt;0,A18,"")</f>
        <v/>
      </c>
    </row>
    <row r="19" customFormat="false" ht="15" hidden="false" customHeight="false" outlineLevel="0" collapsed="false">
      <c r="A19" s="28" t="n">
        <v>14</v>
      </c>
      <c r="B19" s="28" t="n">
        <f aca="false">INT((A19-1)/12)+1</f>
        <v>2</v>
      </c>
      <c r="C19" s="12" t="s">
        <v>462</v>
      </c>
      <c r="D19" s="15" t="n">
        <f aca="false">(1+Допущения!$C$11)^(B19-1)</f>
        <v>1.08</v>
      </c>
      <c r="E19" s="15" t="n">
        <f aca="false">(1+Допущения!$C$12)^(B19-1)</f>
        <v>1.07</v>
      </c>
      <c r="F19" s="17" t="n">
        <f aca="false">Допущения!$C$71*E19</f>
        <v>2918.4036</v>
      </c>
      <c r="G19" s="17" t="n">
        <f aca="false">MIN(G18*(1+Допущения!$C$33),Допущения!$C$34)</f>
        <v>863569.998909115</v>
      </c>
      <c r="H19" s="25" t="n">
        <f aca="false">MIN(Допущения!$C$30,G19/Допущения!$C$29)</f>
        <v>200</v>
      </c>
      <c r="I19" s="25" t="n">
        <f aca="false">MAX(0,G19-H19*Допущения!$C$29)/Допущения!$C$31</f>
        <v>75.1426665212154</v>
      </c>
      <c r="J19" s="25" t="n">
        <f aca="false">IF(A19&gt;=Допущения!$C$35,Допущения!$C$36,0)</f>
        <v>20</v>
      </c>
      <c r="K19" s="25" t="n">
        <f aca="false">H19+I19+J19</f>
        <v>295.142666521215</v>
      </c>
      <c r="L19" s="25" t="n">
        <f aca="false">(L18-K18)*(1-Допущения!$C$44)+K18*(1-Допущения!$C$43)+K19</f>
        <v>1531.40631189178</v>
      </c>
      <c r="M19" s="25" t="n">
        <f aca="false">IF(A19&gt;=Допущения!$C$38,Допущения!$C$73/Допущения!$C$42*MIN(Допущения!$C$42,A19-Допущения!$C$38+1),0)</f>
        <v>20</v>
      </c>
      <c r="N19" s="25" t="n">
        <f aca="false">N18*(1-Допущения!$C$45)+M19</f>
        <v>131.756354435831</v>
      </c>
      <c r="O19" s="25" t="n">
        <f aca="false">L19+N19</f>
        <v>1663.16266632761</v>
      </c>
      <c r="P19" s="25" t="n">
        <f aca="false">L19*Допущения!$C$25</f>
        <v>229.710946783767</v>
      </c>
      <c r="Q19" s="25" t="n">
        <f aca="false">L19*(1-Допущения!$C$25)+N19</f>
        <v>1433.45171954384</v>
      </c>
      <c r="R19" s="17" t="n">
        <f aca="false">MAX(Допущения!$C$18,ROUNDUP(Q19/Допущения!$C$68+P19/Допущения!$C$69,0))</f>
        <v>21</v>
      </c>
      <c r="S19" s="17" t="n">
        <f aca="false">ROUNDUP(R19/Допущения!$C$48,0)</f>
        <v>2</v>
      </c>
      <c r="T19" s="17" t="n">
        <f aca="false">L19*F19/(1+Допущения!$C$6)</f>
        <v>3663329.25712106</v>
      </c>
      <c r="U19" s="17" t="n">
        <f aca="false">N19*Допущения!$C$28*E19/(1+Допущения!$C$6)</f>
        <v>229958.037295259</v>
      </c>
      <c r="V19" s="17" t="n">
        <f aca="false">O19*Допущения!$C$26*Допущения!$C$27/(1+Допущения!$C$6)</f>
        <v>204487.213073067</v>
      </c>
      <c r="W19" s="17" t="n">
        <f aca="false">T19+U19+V19</f>
        <v>4097774.50748939</v>
      </c>
      <c r="X19" s="17" t="n">
        <f aca="false">J19*Допущения!$C$37</f>
        <v>10000</v>
      </c>
      <c r="Y19" s="17" t="n">
        <f aca="false">(R19*Допущения!$C$47+S19*Допущения!$C$49)*D19*Допущения!$C$9</f>
        <v>2671704</v>
      </c>
      <c r="Z19" s="17" t="n">
        <f aca="false">(MAX(0,R19-R18)+R19*Допущения!$C$50/12)*Допущения!$C$51*D19</f>
        <v>190890</v>
      </c>
      <c r="AA19" s="17" t="n">
        <f aca="false">O19*(Допущения!$C$53+Допущения!$C$54)+(L19*F19+N19*Допущения!$C$28*E19)*Допущения!$C$13</f>
        <v>692550.96219496</v>
      </c>
      <c r="AB19" s="17" t="n">
        <f aca="false">(R19+S19)*Допущения!$C$52</f>
        <v>62100</v>
      </c>
      <c r="AC19" s="17" t="n">
        <f aca="false">SUMPRODUCT(Допущения!$B$84:$B$91,Допущения!$C$84:$C$91,--(Допущения!$D$84:$D$91&lt;=A19))*D19*Допущения!$C$9</f>
        <v>2123301.6</v>
      </c>
      <c r="AD19" s="17" t="n">
        <f aca="false">(AC19+Y19)*Допущения!$C$14</f>
        <v>479500.56</v>
      </c>
      <c r="AE19" s="17" t="n">
        <f aca="false">Допущения!$C$55+Допущения!$C$56*O19/1000+Допущения!$C$57</f>
        <v>153305.301330621</v>
      </c>
      <c r="AF19" s="17" t="n">
        <f aca="false">SUMIF(Допущения!$B$95:$B$103,A19,Допущения!$C$95:$C$103)</f>
        <v>0</v>
      </c>
      <c r="AG19" s="17" t="n">
        <v>0</v>
      </c>
      <c r="AH19" s="17" t="n">
        <f aca="false">G19+SUM(X19:AG19)</f>
        <v>7246922.4224347</v>
      </c>
      <c r="AI19" s="17" t="n">
        <f aca="false">W19-AH19</f>
        <v>-3149147.91494531</v>
      </c>
      <c r="AJ19" s="17" t="n">
        <f aca="false">AJ18+AI19</f>
        <v>-38814703.2003831</v>
      </c>
      <c r="AK19" s="17" t="n">
        <f aca="false">O19*Допущения!$C$58*Допущения!$C$59</f>
        <v>27442.1839944056</v>
      </c>
      <c r="AL19" s="17" t="n">
        <f aca="false">T19*Допущения!$C$72</f>
        <v>184705.676829633</v>
      </c>
      <c r="AM19" s="17" t="n">
        <f aca="false">IF(MOD(A19,12)=0,INDEX($F$70:$F$74,B19),0)</f>
        <v>0</v>
      </c>
      <c r="AN19" s="17" t="n">
        <f aca="false">AI19-AM19</f>
        <v>-3149147.91494531</v>
      </c>
      <c r="AO19" s="26" t="n">
        <f aca="false">1/(1+Допущения!$C$74)^A19</f>
        <v>0.792951936783932</v>
      </c>
      <c r="AP19" s="21" t="str">
        <f aca="false">IF(AND(A19&gt;Допущения!$C$19,MIN(AI19:AI$65)&gt;0),A19,"")</f>
        <v/>
      </c>
      <c r="AQ19" s="21" t="str">
        <f aca="false">IF(MIN(AJ19:AJ$65)&gt;0,A19,"")</f>
        <v/>
      </c>
    </row>
    <row r="20" customFormat="false" ht="15" hidden="false" customHeight="false" outlineLevel="0" collapsed="false">
      <c r="A20" s="28" t="n">
        <v>15</v>
      </c>
      <c r="B20" s="28" t="n">
        <f aca="false">INT((A20-1)/12)+1</f>
        <v>2</v>
      </c>
      <c r="C20" s="12" t="s">
        <v>462</v>
      </c>
      <c r="D20" s="15" t="n">
        <f aca="false">(1+Допущения!$C$11)^(B20-1)</f>
        <v>1.08</v>
      </c>
      <c r="E20" s="15" t="n">
        <f aca="false">(1+Допущения!$C$12)^(B20-1)</f>
        <v>1.07</v>
      </c>
      <c r="F20" s="17" t="n">
        <f aca="false">Допущения!$C$71*E20</f>
        <v>2918.4036</v>
      </c>
      <c r="G20" s="17" t="n">
        <f aca="false">MIN(G19*(1+Допущения!$C$33),Допущения!$C$34)</f>
        <v>932655.598821844</v>
      </c>
      <c r="H20" s="25" t="n">
        <f aca="false">MIN(Допущения!$C$30,G20/Допущения!$C$29)</f>
        <v>200</v>
      </c>
      <c r="I20" s="25" t="n">
        <f aca="false">MAX(0,G20-H20*Допущения!$C$29)/Допущения!$C$31</f>
        <v>84.3540798429126</v>
      </c>
      <c r="J20" s="25" t="n">
        <f aca="false">IF(A20&gt;=Допущения!$C$35,Допущения!$C$36,0)</f>
        <v>20</v>
      </c>
      <c r="K20" s="25" t="n">
        <f aca="false">H20+I20+J20</f>
        <v>304.354079842913</v>
      </c>
      <c r="L20" s="25" t="n">
        <f aca="false">(L19-K19)*(1-Допущения!$C$44)+K19*(1-Допущения!$C$43)+K20</f>
        <v>1633.55936682262</v>
      </c>
      <c r="M20" s="25" t="n">
        <f aca="false">IF(A20&gt;=Допущения!$C$38,Допущения!$C$73/Допущения!$C$42*MIN(Допущения!$C$42,A20-Допущения!$C$38+1),0)</f>
        <v>20</v>
      </c>
      <c r="N20" s="25" t="n">
        <f aca="false">N19*(1-Допущения!$C$45)+M20</f>
        <v>149.121227347115</v>
      </c>
      <c r="O20" s="25" t="n">
        <f aca="false">L20+N20</f>
        <v>1782.68059416974</v>
      </c>
      <c r="P20" s="25" t="n">
        <f aca="false">L20*Допущения!$C$25</f>
        <v>245.033905023393</v>
      </c>
      <c r="Q20" s="25" t="n">
        <f aca="false">L20*(1-Допущения!$C$25)+N20</f>
        <v>1537.64668914634</v>
      </c>
      <c r="R20" s="17" t="n">
        <f aca="false">MAX(Допущения!$C$18,ROUNDUP(Q20/Допущения!$C$68+P20/Допущения!$C$69,0))</f>
        <v>22</v>
      </c>
      <c r="S20" s="17" t="n">
        <f aca="false">ROUNDUP(R20/Допущения!$C$48,0)</f>
        <v>2</v>
      </c>
      <c r="T20" s="17" t="n">
        <f aca="false">L20*F20/(1+Допущения!$C$6)</f>
        <v>3907693.06307284</v>
      </c>
      <c r="U20" s="17" t="n">
        <f aca="false">N20*Допущения!$C$28*E20/(1+Допущения!$C$6)</f>
        <v>260265.433926403</v>
      </c>
      <c r="V20" s="17" t="n">
        <f aca="false">O20*Допущения!$C$26*Допущения!$C$27/(1+Допущения!$C$6)</f>
        <v>219182.040266771</v>
      </c>
      <c r="W20" s="17" t="n">
        <f aca="false">T20+U20+V20</f>
        <v>4387140.53726601</v>
      </c>
      <c r="X20" s="17" t="n">
        <f aca="false">J20*Допущения!$C$37</f>
        <v>10000</v>
      </c>
      <c r="Y20" s="17" t="n">
        <f aca="false">(R20*Допущения!$C$47+S20*Допущения!$C$49)*D20*Допущения!$C$9</f>
        <v>2784196.8</v>
      </c>
      <c r="Z20" s="17" t="n">
        <f aca="false">(MAX(0,R20-R19)+R20*Допущения!$C$50/12)*Допущения!$C$51*D20</f>
        <v>117180</v>
      </c>
      <c r="AA20" s="17" t="n">
        <f aca="false">O20*(Допущения!$C$53+Допущения!$C$54)+(L20*F20+N20*Допущения!$C$28*E20)*Допущения!$C$13</f>
        <v>742206.785466057</v>
      </c>
      <c r="AB20" s="17" t="n">
        <f aca="false">(R20+S20)*Допущения!$C$52</f>
        <v>64800</v>
      </c>
      <c r="AC20" s="17" t="n">
        <f aca="false">SUMPRODUCT(Допущения!$B$84:$B$91,Допущения!$C$84:$C$91,--(Допущения!$D$84:$D$91&lt;=A20))*D20*Допущения!$C$9</f>
        <v>2123301.6</v>
      </c>
      <c r="AD20" s="17" t="n">
        <f aca="false">(AC20+Y20)*Допущения!$C$14</f>
        <v>490749.84</v>
      </c>
      <c r="AE20" s="17" t="n">
        <f aca="false">Допущения!$C$55+Допущения!$C$56*O20/1000+Допущения!$C$57</f>
        <v>154261.444753358</v>
      </c>
      <c r="AF20" s="17" t="n">
        <f aca="false">SUMIF(Допущения!$B$95:$B$103,A20,Допущения!$C$95:$C$103)</f>
        <v>0</v>
      </c>
      <c r="AG20" s="17" t="n">
        <v>0</v>
      </c>
      <c r="AH20" s="17" t="n">
        <f aca="false">G20+SUM(X20:AG20)</f>
        <v>7419352.06904126</v>
      </c>
      <c r="AI20" s="17" t="n">
        <f aca="false">W20-AH20</f>
        <v>-3032211.53177525</v>
      </c>
      <c r="AJ20" s="17" t="n">
        <f aca="false">AJ19+AI20</f>
        <v>-41846914.7321583</v>
      </c>
      <c r="AK20" s="17" t="n">
        <f aca="false">O20*Допущения!$C$58*Допущения!$C$59</f>
        <v>29414.2298038007</v>
      </c>
      <c r="AL20" s="17" t="n">
        <f aca="false">T20*Допущения!$C$72</f>
        <v>197026.540995269</v>
      </c>
      <c r="AM20" s="17" t="n">
        <f aca="false">IF(MOD(A20,12)=0,INDEX($F$70:$F$74,B20),0)</f>
        <v>0</v>
      </c>
      <c r="AN20" s="17" t="n">
        <f aca="false">AI20-AM20</f>
        <v>-3032211.53177525</v>
      </c>
      <c r="AO20" s="26" t="n">
        <f aca="false">1/(1+Допущения!$C$74)^A20</f>
        <v>0.77992027705077</v>
      </c>
      <c r="AP20" s="21" t="str">
        <f aca="false">IF(AND(A20&gt;Допущения!$C$19,MIN(AI20:AI$65)&gt;0),A20,"")</f>
        <v/>
      </c>
      <c r="AQ20" s="21" t="str">
        <f aca="false">IF(MIN(AJ20:AJ$65)&gt;0,A20,"")</f>
        <v/>
      </c>
    </row>
    <row r="21" customFormat="false" ht="15" hidden="false" customHeight="false" outlineLevel="0" collapsed="false">
      <c r="A21" s="28" t="n">
        <v>16</v>
      </c>
      <c r="B21" s="28" t="n">
        <f aca="false">INT((A21-1)/12)+1</f>
        <v>2</v>
      </c>
      <c r="C21" s="12" t="s">
        <v>462</v>
      </c>
      <c r="D21" s="15" t="n">
        <f aca="false">(1+Допущения!$C$11)^(B21-1)</f>
        <v>1.08</v>
      </c>
      <c r="E21" s="15" t="n">
        <f aca="false">(1+Допущения!$C$12)^(B21-1)</f>
        <v>1.07</v>
      </c>
      <c r="F21" s="17" t="n">
        <f aca="false">Допущения!$C$71*E21</f>
        <v>2918.4036</v>
      </c>
      <c r="G21" s="17" t="n">
        <f aca="false">MIN(G20*(1+Допущения!$C$33),Допущения!$C$34)</f>
        <v>1007268.04672759</v>
      </c>
      <c r="H21" s="25" t="n">
        <f aca="false">MIN(Допущения!$C$30,G21/Допущения!$C$29)</f>
        <v>200</v>
      </c>
      <c r="I21" s="25" t="n">
        <f aca="false">MAX(0,G21-H21*Допущения!$C$29)/Допущения!$C$31</f>
        <v>94.3024062303456</v>
      </c>
      <c r="J21" s="25" t="n">
        <f aca="false">IF(A21&gt;=Допущения!$C$35,Допущения!$C$36,0)</f>
        <v>20</v>
      </c>
      <c r="K21" s="25" t="n">
        <f aca="false">H21+I21+J21</f>
        <v>314.302406230346</v>
      </c>
      <c r="L21" s="25" t="n">
        <f aca="false">(L20-K20)*(1-Допущения!$C$44)+K20*(1-Допущения!$C$43)+K21</f>
        <v>1735.00142214957</v>
      </c>
      <c r="M21" s="25" t="n">
        <f aca="false">IF(A21&gt;=Допущения!$C$38,Допущения!$C$73/Допущения!$C$42*MIN(Допущения!$C$42,A21-Допущения!$C$38+1),0)</f>
        <v>20</v>
      </c>
      <c r="N21" s="25" t="n">
        <f aca="false">N20*(1-Допущения!$C$45)+M21</f>
        <v>166.138802800173</v>
      </c>
      <c r="O21" s="25" t="n">
        <f aca="false">L21+N21</f>
        <v>1901.14022494974</v>
      </c>
      <c r="P21" s="25" t="n">
        <f aca="false">L21*Допущения!$C$25</f>
        <v>260.250213322436</v>
      </c>
      <c r="Q21" s="25" t="n">
        <f aca="false">L21*(1-Допущения!$C$25)+N21</f>
        <v>1640.89001162731</v>
      </c>
      <c r="R21" s="17" t="n">
        <f aca="false">MAX(Допущения!$C$18,ROUNDUP(Q21/Допущения!$C$68+P21/Допущения!$C$69,0))</f>
        <v>24</v>
      </c>
      <c r="S21" s="17" t="n">
        <f aca="false">ROUNDUP(R21/Допущения!$C$48,0)</f>
        <v>2</v>
      </c>
      <c r="T21" s="17" t="n">
        <f aca="false">L21*F21/(1+Допущения!$C$6)</f>
        <v>4150356.06262822</v>
      </c>
      <c r="U21" s="17" t="n">
        <f aca="false">N21*Допущения!$C$28*E21/(1+Допущения!$C$6)</f>
        <v>289966.682624924</v>
      </c>
      <c r="V21" s="17" t="n">
        <f aca="false">O21*Допущения!$C$26*Допущения!$C$27/(1+Допущения!$C$6)</f>
        <v>233746.748969231</v>
      </c>
      <c r="W21" s="17" t="n">
        <f aca="false">T21+U21+V21</f>
        <v>4674069.49422238</v>
      </c>
      <c r="X21" s="17" t="n">
        <f aca="false">J21*Допущения!$C$37</f>
        <v>10000</v>
      </c>
      <c r="Y21" s="17" t="n">
        <f aca="false">(R21*Допущения!$C$47+S21*Допущения!$C$49)*D21*Допущения!$C$9</f>
        <v>3009182.4</v>
      </c>
      <c r="Z21" s="17" t="n">
        <f aca="false">(MAX(0,R21-R20)+R21*Допущения!$C$50/12)*Допущения!$C$51*D21</f>
        <v>196560</v>
      </c>
      <c r="AA21" s="17" t="n">
        <f aca="false">O21*(Допущения!$C$53+Допущения!$C$54)+(L21*F21+N21*Допущения!$C$28*E21)*Допущения!$C$13</f>
        <v>791425.669592416</v>
      </c>
      <c r="AB21" s="17" t="n">
        <f aca="false">(R21+S21)*Допущения!$C$52</f>
        <v>70200</v>
      </c>
      <c r="AC21" s="17" t="n">
        <f aca="false">SUMPRODUCT(Допущения!$B$84:$B$91,Допущения!$C$84:$C$91,--(Допущения!$D$84:$D$91&lt;=A21))*D21*Допущения!$C$9</f>
        <v>2123301.6</v>
      </c>
      <c r="AD21" s="17" t="n">
        <f aca="false">(AC21+Y21)*Допущения!$C$14</f>
        <v>513248.4</v>
      </c>
      <c r="AE21" s="17" t="n">
        <f aca="false">Допущения!$C$55+Допущения!$C$56*O21/1000+Допущения!$C$57</f>
        <v>155209.121799598</v>
      </c>
      <c r="AF21" s="17" t="n">
        <f aca="false">SUMIF(Допущения!$B$95:$B$103,A21,Допущения!$C$95:$C$103)</f>
        <v>0</v>
      </c>
      <c r="AG21" s="17" t="n">
        <v>0</v>
      </c>
      <c r="AH21" s="17" t="n">
        <f aca="false">G21+SUM(X21:AG21)</f>
        <v>7876395.23811961</v>
      </c>
      <c r="AI21" s="17" t="n">
        <f aca="false">W21-AH21</f>
        <v>-3202325.74389723</v>
      </c>
      <c r="AJ21" s="17" t="n">
        <f aca="false">AJ20+AI21</f>
        <v>-45049240.4760556</v>
      </c>
      <c r="AK21" s="17" t="n">
        <f aca="false">O21*Допущения!$C$58*Допущения!$C$59</f>
        <v>31368.8137116708</v>
      </c>
      <c r="AL21" s="17" t="n">
        <f aca="false">T21*Допущения!$C$72</f>
        <v>209261.650216549</v>
      </c>
      <c r="AM21" s="17" t="n">
        <f aca="false">IF(MOD(A21,12)=0,INDEX($F$70:$F$74,B21),0)</f>
        <v>0</v>
      </c>
      <c r="AN21" s="17" t="n">
        <f aca="false">AI21-AM21</f>
        <v>-3202325.74389723</v>
      </c>
      <c r="AO21" s="26" t="n">
        <f aca="false">1/(1+Допущения!$C$74)^A21</f>
        <v>0.767102784340253</v>
      </c>
      <c r="AP21" s="21" t="str">
        <f aca="false">IF(AND(A21&gt;Допущения!$C$19,MIN(AI21:AI$65)&gt;0),A21,"")</f>
        <v/>
      </c>
      <c r="AQ21" s="21" t="str">
        <f aca="false">IF(MIN(AJ21:AJ$65)&gt;0,A21,"")</f>
        <v/>
      </c>
    </row>
    <row r="22" customFormat="false" ht="15" hidden="false" customHeight="false" outlineLevel="0" collapsed="false">
      <c r="A22" s="28" t="n">
        <v>17</v>
      </c>
      <c r="B22" s="28" t="n">
        <f aca="false">INT((A22-1)/12)+1</f>
        <v>2</v>
      </c>
      <c r="C22" s="12" t="s">
        <v>462</v>
      </c>
      <c r="D22" s="15" t="n">
        <f aca="false">(1+Допущения!$C$11)^(B22-1)</f>
        <v>1.08</v>
      </c>
      <c r="E22" s="15" t="n">
        <f aca="false">(1+Допущения!$C$12)^(B22-1)</f>
        <v>1.07</v>
      </c>
      <c r="F22" s="17" t="n">
        <f aca="false">Допущения!$C$71*E22</f>
        <v>2918.4036</v>
      </c>
      <c r="G22" s="17" t="n">
        <f aca="false">MIN(G21*(1+Допущения!$C$33),Допущения!$C$34)</f>
        <v>1087849.4904658</v>
      </c>
      <c r="H22" s="25" t="n">
        <f aca="false">MIN(Допущения!$C$30,G22/Допущения!$C$29)</f>
        <v>200</v>
      </c>
      <c r="I22" s="25" t="n">
        <f aca="false">MAX(0,G22-H22*Допущения!$C$29)/Допущения!$C$31</f>
        <v>105.046598728773</v>
      </c>
      <c r="J22" s="25" t="n">
        <f aca="false">IF(A22&gt;=Допущения!$C$35,Допущения!$C$36,0)</f>
        <v>20</v>
      </c>
      <c r="K22" s="25" t="n">
        <f aca="false">H22+I22+J22</f>
        <v>325.046598728773</v>
      </c>
      <c r="L22" s="25" t="n">
        <f aca="false">(L21-K21)*(1-Допущения!$C$44)+K21*(1-Допущения!$C$43)+K22</f>
        <v>1836.38625742419</v>
      </c>
      <c r="M22" s="25" t="n">
        <f aca="false">IF(A22&gt;=Допущения!$C$38,Допущения!$C$73/Допущения!$C$42*MIN(Допущения!$C$42,A22-Допущения!$C$38+1),0)</f>
        <v>20</v>
      </c>
      <c r="N22" s="25" t="n">
        <f aca="false">N21*(1-Допущения!$C$45)+M22</f>
        <v>182.816026744169</v>
      </c>
      <c r="O22" s="25" t="n">
        <f aca="false">L22+N22</f>
        <v>2019.20228416835</v>
      </c>
      <c r="P22" s="25" t="n">
        <f aca="false">L22*Допущения!$C$25</f>
        <v>275.457938613628</v>
      </c>
      <c r="Q22" s="25" t="n">
        <f aca="false">L22*(1-Допущения!$C$25)+N22</f>
        <v>1743.74434555473</v>
      </c>
      <c r="R22" s="17" t="n">
        <f aca="false">MAX(Допущения!$C$18,ROUNDUP(Q22/Допущения!$C$68+P22/Допущения!$C$69,0))</f>
        <v>25</v>
      </c>
      <c r="S22" s="17" t="n">
        <f aca="false">ROUNDUP(R22/Допущения!$C$48,0)</f>
        <v>3</v>
      </c>
      <c r="T22" s="17" t="n">
        <f aca="false">L22*F22/(1+Допущения!$C$6)</f>
        <v>4392882.1841453</v>
      </c>
      <c r="U22" s="17" t="n">
        <f aca="false">N22*Допущения!$C$28*E22/(1+Допущения!$C$6)</f>
        <v>319073.906349475</v>
      </c>
      <c r="V22" s="17" t="n">
        <f aca="false">O22*Допущения!$C$26*Допущения!$C$27/(1+Допущения!$C$6)</f>
        <v>248262.575922339</v>
      </c>
      <c r="W22" s="17" t="n">
        <f aca="false">T22+U22+V22</f>
        <v>4960218.66641712</v>
      </c>
      <c r="X22" s="17" t="n">
        <f aca="false">J22*Допущения!$C$37</f>
        <v>10000</v>
      </c>
      <c r="Y22" s="17" t="n">
        <f aca="false">(R22*Допущения!$C$47+S22*Допущения!$C$49)*D22*Допущения!$C$9</f>
        <v>3276352.8</v>
      </c>
      <c r="Z22" s="17" t="n">
        <f aca="false">(MAX(0,R22-R21)+R22*Допущения!$C$50/12)*Допущения!$C$51*D22</f>
        <v>122850</v>
      </c>
      <c r="AA22" s="17" t="n">
        <f aca="false">O22*(Допущения!$C$53+Допущения!$C$54)+(L22*F22+N22*Допущения!$C$28*E22)*Допущения!$C$13</f>
        <v>840483.389468715</v>
      </c>
      <c r="AB22" s="17" t="n">
        <f aca="false">(R22+S22)*Допущения!$C$52</f>
        <v>75600</v>
      </c>
      <c r="AC22" s="17" t="n">
        <f aca="false">SUMPRODUCT(Допущения!$B$84:$B$91,Допущения!$C$84:$C$91,--(Допущения!$D$84:$D$91&lt;=A22))*D22*Допущения!$C$9</f>
        <v>2123301.6</v>
      </c>
      <c r="AD22" s="17" t="n">
        <f aca="false">(AC22+Y22)*Допущения!$C$14</f>
        <v>539965.44</v>
      </c>
      <c r="AE22" s="17" t="n">
        <f aca="false">Допущения!$C$55+Допущения!$C$56*O22/1000+Допущения!$C$57</f>
        <v>156153.618273347</v>
      </c>
      <c r="AF22" s="17" t="n">
        <f aca="false">SUMIF(Допущения!$B$95:$B$103,A22,Допущения!$C$95:$C$103)</f>
        <v>0</v>
      </c>
      <c r="AG22" s="17" t="n">
        <v>0</v>
      </c>
      <c r="AH22" s="17" t="n">
        <f aca="false">G22+SUM(X22:AG22)</f>
        <v>8232556.33820786</v>
      </c>
      <c r="AI22" s="17" t="n">
        <f aca="false">W22-AH22</f>
        <v>-3272337.67179075</v>
      </c>
      <c r="AJ22" s="17" t="n">
        <f aca="false">AJ21+AI22</f>
        <v>-48321578.1478463</v>
      </c>
      <c r="AK22" s="17" t="n">
        <f aca="false">O22*Допущения!$C$58*Допущения!$C$59</f>
        <v>33316.8376887779</v>
      </c>
      <c r="AL22" s="17" t="n">
        <f aca="false">T22*Допущения!$C$72</f>
        <v>221489.858024133</v>
      </c>
      <c r="AM22" s="17" t="n">
        <f aca="false">IF(MOD(A22,12)=0,INDEX($F$70:$F$74,B22),0)</f>
        <v>0</v>
      </c>
      <c r="AN22" s="17" t="n">
        <f aca="false">AI22-AM22</f>
        <v>-3272337.67179075</v>
      </c>
      <c r="AO22" s="26" t="n">
        <f aca="false">1/(1+Допущения!$C$74)^A22</f>
        <v>0.754495938953851</v>
      </c>
      <c r="AP22" s="21" t="str">
        <f aca="false">IF(AND(A22&gt;Допущения!$C$19,MIN(AI22:AI$65)&gt;0),A22,"")</f>
        <v/>
      </c>
      <c r="AQ22" s="21" t="str">
        <f aca="false">IF(MIN(AJ22:AJ$65)&gt;0,A22,"")</f>
        <v/>
      </c>
    </row>
    <row r="23" customFormat="false" ht="15" hidden="false" customHeight="false" outlineLevel="0" collapsed="false">
      <c r="A23" s="28" t="n">
        <v>18</v>
      </c>
      <c r="B23" s="28" t="n">
        <f aca="false">INT((A23-1)/12)+1</f>
        <v>2</v>
      </c>
      <c r="C23" s="12" t="s">
        <v>462</v>
      </c>
      <c r="D23" s="15" t="n">
        <f aca="false">(1+Допущения!$C$11)^(B23-1)</f>
        <v>1.08</v>
      </c>
      <c r="E23" s="15" t="n">
        <f aca="false">(1+Допущения!$C$12)^(B23-1)</f>
        <v>1.07</v>
      </c>
      <c r="F23" s="17" t="n">
        <f aca="false">Допущения!$C$71*E23</f>
        <v>2918.4036</v>
      </c>
      <c r="G23" s="17" t="n">
        <f aca="false">MIN(G22*(1+Допущения!$C$33),Допущения!$C$34)</f>
        <v>1174877.44970306</v>
      </c>
      <c r="H23" s="25" t="n">
        <f aca="false">MIN(Допущения!$C$30,G23/Допущения!$C$29)</f>
        <v>200</v>
      </c>
      <c r="I23" s="25" t="n">
        <f aca="false">MAX(0,G23-H23*Допущения!$C$29)/Допущения!$C$31</f>
        <v>116.650326627075</v>
      </c>
      <c r="J23" s="25" t="n">
        <f aca="false">IF(A23&gt;=Допущения!$C$35,Допущения!$C$36,0)</f>
        <v>20</v>
      </c>
      <c r="K23" s="25" t="n">
        <f aca="false">H23+I23+J23</f>
        <v>336.650326627075</v>
      </c>
      <c r="L23" s="25" t="n">
        <f aca="false">(L22-K22)*(1-Допущения!$C$44)+K22*(1-Допущения!$C$43)+K23</f>
        <v>1938.36310180056</v>
      </c>
      <c r="M23" s="25" t="n">
        <f aca="false">IF(A23&gt;=Допущения!$C$38,Допущения!$C$73/Допущения!$C$42*MIN(Допущения!$C$42,A23-Допущения!$C$38+1),0)</f>
        <v>20</v>
      </c>
      <c r="N23" s="25" t="n">
        <f aca="false">N22*(1-Допущения!$C$45)+M23</f>
        <v>199.159706209286</v>
      </c>
      <c r="O23" s="25" t="n">
        <f aca="false">L23+N23</f>
        <v>2137.52280800984</v>
      </c>
      <c r="P23" s="25" t="n">
        <f aca="false">L23*Допущения!$C$25</f>
        <v>290.754465270084</v>
      </c>
      <c r="Q23" s="25" t="n">
        <f aca="false">L23*(1-Допущения!$C$25)+N23</f>
        <v>1846.76834273976</v>
      </c>
      <c r="R23" s="17" t="n">
        <f aca="false">MAX(Допущения!$C$18,ROUNDUP(Q23/Допущения!$C$68+P23/Допущения!$C$69,0))</f>
        <v>27</v>
      </c>
      <c r="S23" s="17" t="n">
        <f aca="false">ROUNDUP(R23/Допущения!$C$48,0)</f>
        <v>3</v>
      </c>
      <c r="T23" s="17" t="n">
        <f aca="false">L23*F23/(1+Допущения!$C$6)</f>
        <v>4636824.47082124</v>
      </c>
      <c r="U23" s="17" t="n">
        <f aca="false">N23*Допущения!$C$28*E23/(1+Допущения!$C$6)</f>
        <v>347598.985599535</v>
      </c>
      <c r="V23" s="17" t="n">
        <f aca="false">O23*Допущения!$C$26*Допущения!$C$27/(1+Допущения!$C$6)</f>
        <v>262810.181312686</v>
      </c>
      <c r="W23" s="17" t="n">
        <f aca="false">T23+U23+V23</f>
        <v>5247233.63773346</v>
      </c>
      <c r="X23" s="17" t="n">
        <f aca="false">J23*Допущения!$C$37</f>
        <v>10000</v>
      </c>
      <c r="Y23" s="17" t="n">
        <f aca="false">(R23*Допущения!$C$47+S23*Допущения!$C$49)*D23*Допущения!$C$9</f>
        <v>3501338.4</v>
      </c>
      <c r="Z23" s="17" t="n">
        <f aca="false">(MAX(0,R23-R22)+R23*Допущения!$C$50/12)*Допущения!$C$51*D23</f>
        <v>202230</v>
      </c>
      <c r="AA23" s="17" t="n">
        <f aca="false">O23*(Допущения!$C$53+Допущения!$C$54)+(L23*F23+N23*Допущения!$C$28*E23)*Допущения!$C$13</f>
        <v>889653.764026593</v>
      </c>
      <c r="AB23" s="17" t="n">
        <f aca="false">(R23+S23)*Допущения!$C$52</f>
        <v>81000</v>
      </c>
      <c r="AC23" s="17" t="n">
        <f aca="false">SUMPRODUCT(Допущения!$B$84:$B$91,Допущения!$C$84:$C$91,--(Допущения!$D$84:$D$91&lt;=A23))*D23*Допущения!$C$9</f>
        <v>2123301.6</v>
      </c>
      <c r="AD23" s="17" t="n">
        <f aca="false">(AC23+Y23)*Допущения!$C$14</f>
        <v>562464</v>
      </c>
      <c r="AE23" s="17" t="n">
        <f aca="false">Допущения!$C$55+Допущения!$C$56*O23/1000+Допущения!$C$57</f>
        <v>157100.182464079</v>
      </c>
      <c r="AF23" s="17" t="n">
        <f aca="false">SUMIF(Допущения!$B$95:$B$103,A23,Допущения!$C$95:$C$103)</f>
        <v>0</v>
      </c>
      <c r="AG23" s="17" t="n">
        <v>0</v>
      </c>
      <c r="AH23" s="17" t="n">
        <f aca="false">G23+SUM(X23:AG23)</f>
        <v>8701965.39619374</v>
      </c>
      <c r="AI23" s="17" t="n">
        <f aca="false">W23-AH23</f>
        <v>-3454731.75846027</v>
      </c>
      <c r="AJ23" s="17" t="n">
        <f aca="false">AJ22+AI23</f>
        <v>-51776309.9063066</v>
      </c>
      <c r="AK23" s="17" t="n">
        <f aca="false">O23*Допущения!$C$58*Допущения!$C$59</f>
        <v>35269.1263321624</v>
      </c>
      <c r="AL23" s="17" t="n">
        <f aca="false">T23*Допущения!$C$72</f>
        <v>233789.469117037</v>
      </c>
      <c r="AM23" s="17" t="n">
        <f aca="false">IF(MOD(A23,12)=0,INDEX($F$70:$F$74,B23),0)</f>
        <v>0</v>
      </c>
      <c r="AN23" s="17" t="n">
        <f aca="false">AI23-AM23</f>
        <v>-3454731.75846027</v>
      </c>
      <c r="AO23" s="26" t="n">
        <f aca="false">1/(1+Допущения!$C$74)^A23</f>
        <v>0.742096279037039</v>
      </c>
      <c r="AP23" s="21" t="str">
        <f aca="false">IF(AND(A23&gt;Допущения!$C$19,MIN(AI23:AI$65)&gt;0),A23,"")</f>
        <v/>
      </c>
      <c r="AQ23" s="21" t="str">
        <f aca="false">IF(MIN(AJ23:AJ$65)&gt;0,A23,"")</f>
        <v/>
      </c>
    </row>
    <row r="24" customFormat="false" ht="15" hidden="false" customHeight="false" outlineLevel="0" collapsed="false">
      <c r="A24" s="28" t="n">
        <v>19</v>
      </c>
      <c r="B24" s="28" t="n">
        <f aca="false">INT((A24-1)/12)+1</f>
        <v>2</v>
      </c>
      <c r="C24" s="12" t="s">
        <v>462</v>
      </c>
      <c r="D24" s="15" t="n">
        <f aca="false">(1+Допущения!$C$11)^(B24-1)</f>
        <v>1.08</v>
      </c>
      <c r="E24" s="15" t="n">
        <f aca="false">(1+Допущения!$C$12)^(B24-1)</f>
        <v>1.07</v>
      </c>
      <c r="F24" s="17" t="n">
        <f aca="false">Допущения!$C$71*E24</f>
        <v>2918.4036</v>
      </c>
      <c r="G24" s="17" t="n">
        <f aca="false">MIN(G23*(1+Допущения!$C$33),Допущения!$C$34)</f>
        <v>1268867.64567931</v>
      </c>
      <c r="H24" s="25" t="n">
        <f aca="false">MIN(Допущения!$C$30,G24/Допущения!$C$29)</f>
        <v>200</v>
      </c>
      <c r="I24" s="25" t="n">
        <f aca="false">MAX(0,G24-H24*Допущения!$C$29)/Допущения!$C$31</f>
        <v>129.182352757241</v>
      </c>
      <c r="J24" s="25" t="n">
        <f aca="false">IF(A24&gt;=Допущения!$C$35,Допущения!$C$36,0)</f>
        <v>20</v>
      </c>
      <c r="K24" s="25" t="n">
        <f aca="false">H24+I24+J24</f>
        <v>349.182352757241</v>
      </c>
      <c r="L24" s="25" t="n">
        <f aca="false">(L23-K23)*(1-Допущения!$C$44)+K23*(1-Допущения!$C$43)+K24</f>
        <v>2041.58081822444</v>
      </c>
      <c r="M24" s="25" t="n">
        <f aca="false">IF(A24&gt;=Допущения!$C$38,Допущения!$C$73/Допущения!$C$42*MIN(Допущения!$C$42,A24-Допущения!$C$38+1),0)</f>
        <v>20</v>
      </c>
      <c r="N24" s="25" t="n">
        <f aca="false">N23*(1-Допущения!$C$45)+M24</f>
        <v>215.1765120851</v>
      </c>
      <c r="O24" s="25" t="n">
        <f aca="false">L24+N24</f>
        <v>2256.75733030954</v>
      </c>
      <c r="P24" s="25" t="n">
        <f aca="false">L24*Допущения!$C$25</f>
        <v>306.237122733667</v>
      </c>
      <c r="Q24" s="25" t="n">
        <f aca="false">L24*(1-Допущения!$C$25)+N24</f>
        <v>1950.52020757588</v>
      </c>
      <c r="R24" s="17" t="n">
        <f aca="false">MAX(Допущения!$C$18,ROUNDUP(Q24/Допущения!$C$68+P24/Допущения!$C$69,0))</f>
        <v>28</v>
      </c>
      <c r="S24" s="17" t="n">
        <f aca="false">ROUNDUP(R24/Допущения!$C$48,0)</f>
        <v>3</v>
      </c>
      <c r="T24" s="17" t="n">
        <f aca="false">L24*F24/(1+Допущения!$C$6)</f>
        <v>4883735.08983374</v>
      </c>
      <c r="U24" s="17" t="n">
        <f aca="false">N24*Допущения!$C$28*E24/(1+Допущения!$C$6)</f>
        <v>375553.563264593</v>
      </c>
      <c r="V24" s="17" t="n">
        <f aca="false">O24*Допущения!$C$26*Допущения!$C$27/(1+Допущения!$C$6)</f>
        <v>277470.163562649</v>
      </c>
      <c r="W24" s="17" t="n">
        <f aca="false">T24+U24+V24</f>
        <v>5536758.81666098</v>
      </c>
      <c r="X24" s="17" t="n">
        <f aca="false">J24*Допущения!$C$37</f>
        <v>10000</v>
      </c>
      <c r="Y24" s="17" t="n">
        <f aca="false">(R24*Допущения!$C$47+S24*Допущения!$C$49)*D24*Допущения!$C$9</f>
        <v>3613831.2</v>
      </c>
      <c r="Z24" s="17" t="n">
        <f aca="false">(MAX(0,R24-R23)+R24*Допущения!$C$50/12)*Допущения!$C$51*D24</f>
        <v>128520</v>
      </c>
      <c r="AA24" s="17" t="n">
        <f aca="false">O24*(Допущения!$C$53+Допущения!$C$54)+(L24*F24+N24*Допущения!$C$28*E24)*Допущения!$C$13</f>
        <v>939210.404385023</v>
      </c>
      <c r="AB24" s="17" t="n">
        <f aca="false">(R24+S24)*Допущения!$C$52</f>
        <v>83700</v>
      </c>
      <c r="AC24" s="17" t="n">
        <f aca="false">SUMPRODUCT(Допущения!$B$84:$B$91,Допущения!$C$84:$C$91,--(Допущения!$D$84:$D$91&lt;=A24))*D24*Допущения!$C$9</f>
        <v>2123301.6</v>
      </c>
      <c r="AD24" s="17" t="n">
        <f aca="false">(AC24+Y24)*Допущения!$C$14</f>
        <v>573713.28</v>
      </c>
      <c r="AE24" s="17" t="n">
        <f aca="false">Допущения!$C$55+Допущения!$C$56*O24/1000+Допущения!$C$57</f>
        <v>158054.058642476</v>
      </c>
      <c r="AF24" s="17" t="n">
        <f aca="false">SUMIF(Допущения!$B$95:$B$103,A24,Допущения!$C$95:$C$103)</f>
        <v>0</v>
      </c>
      <c r="AG24" s="17" t="n">
        <v>0</v>
      </c>
      <c r="AH24" s="17" t="n">
        <f aca="false">G24+SUM(X24:AG24)</f>
        <v>8899198.18870681</v>
      </c>
      <c r="AI24" s="17" t="n">
        <f aca="false">W24-AH24</f>
        <v>-3362439.37204583</v>
      </c>
      <c r="AJ24" s="17" t="n">
        <f aca="false">AJ23+AI24</f>
        <v>-55138749.2783524</v>
      </c>
      <c r="AK24" s="17" t="n">
        <f aca="false">O24*Допущения!$C$58*Допущения!$C$59</f>
        <v>37236.4959501075</v>
      </c>
      <c r="AL24" s="17" t="n">
        <f aca="false">T24*Допущения!$C$72</f>
        <v>246238.744025231</v>
      </c>
      <c r="AM24" s="17" t="n">
        <f aca="false">IF(MOD(A24,12)=0,INDEX($F$70:$F$74,B24),0)</f>
        <v>0</v>
      </c>
      <c r="AN24" s="17" t="n">
        <f aca="false">AI24-AM24</f>
        <v>-3362439.37204583</v>
      </c>
      <c r="AO24" s="26" t="n">
        <f aca="false">1/(1+Допущения!$C$74)^A24</f>
        <v>0.729900399628662</v>
      </c>
      <c r="AP24" s="21" t="str">
        <f aca="false">IF(AND(A24&gt;Допущения!$C$19,MIN(AI24:AI$65)&gt;0),A24,"")</f>
        <v/>
      </c>
      <c r="AQ24" s="21" t="str">
        <f aca="false">IF(MIN(AJ24:AJ$65)&gt;0,A24,"")</f>
        <v/>
      </c>
    </row>
    <row r="25" customFormat="false" ht="15" hidden="false" customHeight="false" outlineLevel="0" collapsed="false">
      <c r="A25" s="28" t="n">
        <v>20</v>
      </c>
      <c r="B25" s="28" t="n">
        <f aca="false">INT((A25-1)/12)+1</f>
        <v>2</v>
      </c>
      <c r="C25" s="12" t="s">
        <v>462</v>
      </c>
      <c r="D25" s="15" t="n">
        <f aca="false">(1+Допущения!$C$11)^(B25-1)</f>
        <v>1.08</v>
      </c>
      <c r="E25" s="15" t="n">
        <f aca="false">(1+Допущения!$C$12)^(B25-1)</f>
        <v>1.07</v>
      </c>
      <c r="F25" s="17" t="n">
        <f aca="false">Допущения!$C$71*E25</f>
        <v>2918.4036</v>
      </c>
      <c r="G25" s="17" t="n">
        <f aca="false">MIN(G24*(1+Допущения!$C$33),Допущения!$C$34)</f>
        <v>1370377.05733365</v>
      </c>
      <c r="H25" s="25" t="n">
        <f aca="false">MIN(Допущения!$C$30,G25/Допущения!$C$29)</f>
        <v>200</v>
      </c>
      <c r="I25" s="25" t="n">
        <f aca="false">MAX(0,G25-H25*Допущения!$C$29)/Допущения!$C$31</f>
        <v>142.71694097782</v>
      </c>
      <c r="J25" s="25" t="n">
        <f aca="false">IF(A25&gt;=Допущения!$C$35,Допущения!$C$36,0)</f>
        <v>20</v>
      </c>
      <c r="K25" s="25" t="n">
        <f aca="false">H25+I25+J25</f>
        <v>362.71694097782</v>
      </c>
      <c r="L25" s="25" t="n">
        <f aca="false">(L24-K24)*(1-Допущения!$C$44)+K24*(1-Допущения!$C$43)+K25</f>
        <v>2146.69205849985</v>
      </c>
      <c r="M25" s="25" t="n">
        <f aca="false">IF(A25&gt;=Допущения!$C$38,Допущения!$C$73/Допущения!$C$42*MIN(Допущения!$C$42,A25-Допущения!$C$38+1),0)</f>
        <v>20</v>
      </c>
      <c r="N25" s="25" t="n">
        <f aca="false">N24*(1-Допущения!$C$45)+M25</f>
        <v>230.872981843398</v>
      </c>
      <c r="O25" s="25" t="n">
        <f aca="false">L25+N25</f>
        <v>2377.56504034325</v>
      </c>
      <c r="P25" s="25" t="n">
        <f aca="false">L25*Допущения!$C$25</f>
        <v>322.003808774978</v>
      </c>
      <c r="Q25" s="25" t="n">
        <f aca="false">L25*(1-Допущения!$C$25)+N25</f>
        <v>2055.56123156827</v>
      </c>
      <c r="R25" s="17" t="n">
        <f aca="false">MAX(Допущения!$C$18,ROUNDUP(Q25/Допущения!$C$68+P25/Допущения!$C$69,0))</f>
        <v>29</v>
      </c>
      <c r="S25" s="17" t="n">
        <f aca="false">ROUNDUP(R25/Допущения!$C$48,0)</f>
        <v>3</v>
      </c>
      <c r="T25" s="17" t="n">
        <f aca="false">L25*F25/(1+Допущения!$C$6)</f>
        <v>5135175.27181753</v>
      </c>
      <c r="U25" s="17" t="n">
        <f aca="false">N25*Допущения!$C$28*E25/(1+Допущения!$C$6)</f>
        <v>402949.04937635</v>
      </c>
      <c r="V25" s="17" t="n">
        <f aca="false">O25*Допущения!$C$26*Допущения!$C$27/(1+Допущения!$C$6)</f>
        <v>292323.570534006</v>
      </c>
      <c r="W25" s="17" t="n">
        <f aca="false">T25+U25+V25</f>
        <v>5830447.89172788</v>
      </c>
      <c r="X25" s="17" t="n">
        <f aca="false">J25*Допущения!$C$37</f>
        <v>10000</v>
      </c>
      <c r="Y25" s="17" t="n">
        <f aca="false">(R25*Допущения!$C$47+S25*Допущения!$C$49)*D25*Допущения!$C$9</f>
        <v>3726324</v>
      </c>
      <c r="Z25" s="17" t="n">
        <f aca="false">(MAX(0,R25-R24)+R25*Допущения!$C$50/12)*Допущения!$C$51*D25</f>
        <v>130410</v>
      </c>
      <c r="AA25" s="17" t="n">
        <f aca="false">O25*(Допущения!$C$53+Допущения!$C$54)+(L25*F25+N25*Допущения!$C$28*E25)*Допущения!$C$13</f>
        <v>989428.449818705</v>
      </c>
      <c r="AB25" s="17" t="n">
        <f aca="false">(R25+S25)*Допущения!$C$52</f>
        <v>86400</v>
      </c>
      <c r="AC25" s="17" t="n">
        <f aca="false">SUMPRODUCT(Допущения!$B$84:$B$91,Допущения!$C$84:$C$91,--(Допущения!$D$84:$D$91&lt;=A25))*D25*Допущения!$C$9</f>
        <v>2123301.6</v>
      </c>
      <c r="AD25" s="17" t="n">
        <f aca="false">(AC25+Y25)*Допущения!$C$14</f>
        <v>584962.56</v>
      </c>
      <c r="AE25" s="17" t="n">
        <f aca="false">Допущения!$C$55+Допущения!$C$56*O25/1000+Допущения!$C$57</f>
        <v>159020.520322746</v>
      </c>
      <c r="AF25" s="17" t="n">
        <f aca="false">SUMIF(Допущения!$B$95:$B$103,A25,Допущения!$C$95:$C$103)</f>
        <v>0</v>
      </c>
      <c r="AG25" s="17" t="n">
        <v>0</v>
      </c>
      <c r="AH25" s="17" t="n">
        <f aca="false">G25+SUM(X25:AG25)</f>
        <v>9180224.1874751</v>
      </c>
      <c r="AI25" s="17" t="n">
        <f aca="false">W25-AH25</f>
        <v>-3349776.29574722</v>
      </c>
      <c r="AJ25" s="17" t="n">
        <f aca="false">AJ24+AI25</f>
        <v>-58488525.5740996</v>
      </c>
      <c r="AK25" s="17" t="n">
        <f aca="false">O25*Допущения!$C$58*Допущения!$C$59</f>
        <v>39229.8231656637</v>
      </c>
      <c r="AL25" s="17" t="n">
        <f aca="false">T25*Допущения!$C$72</f>
        <v>258916.400259707</v>
      </c>
      <c r="AM25" s="17" t="n">
        <f aca="false">IF(MOD(A25,12)=0,INDEX($F$70:$F$74,B25),0)</f>
        <v>0</v>
      </c>
      <c r="AN25" s="17" t="n">
        <f aca="false">AI25-AM25</f>
        <v>-3349776.29574722</v>
      </c>
      <c r="AO25" s="26" t="n">
        <f aca="false">1/(1+Допущения!$C$74)^A25</f>
        <v>0.717904951725933</v>
      </c>
      <c r="AP25" s="21" t="str">
        <f aca="false">IF(AND(A25&gt;Допущения!$C$19,MIN(AI25:AI$65)&gt;0),A25,"")</f>
        <v/>
      </c>
      <c r="AQ25" s="21" t="str">
        <f aca="false">IF(MIN(AJ25:AJ$65)&gt;0,A25,"")</f>
        <v/>
      </c>
    </row>
    <row r="26" customFormat="false" ht="15" hidden="false" customHeight="false" outlineLevel="0" collapsed="false">
      <c r="A26" s="28" t="n">
        <v>21</v>
      </c>
      <c r="B26" s="28" t="n">
        <f aca="false">INT((A26-1)/12)+1</f>
        <v>2</v>
      </c>
      <c r="C26" s="12" t="s">
        <v>462</v>
      </c>
      <c r="D26" s="15" t="n">
        <f aca="false">(1+Допущения!$C$11)^(B26-1)</f>
        <v>1.08</v>
      </c>
      <c r="E26" s="15" t="n">
        <f aca="false">(1+Допущения!$C$12)^(B26-1)</f>
        <v>1.07</v>
      </c>
      <c r="F26" s="17" t="n">
        <f aca="false">Допущения!$C$71*E26</f>
        <v>2918.4036</v>
      </c>
      <c r="G26" s="17" t="n">
        <f aca="false">MIN(G25*(1+Допущения!$C$33),Допущения!$C$34)</f>
        <v>1480007.22192035</v>
      </c>
      <c r="H26" s="25" t="n">
        <f aca="false">MIN(Допущения!$C$30,G26/Допущения!$C$29)</f>
        <v>200</v>
      </c>
      <c r="I26" s="25" t="n">
        <f aca="false">MAX(0,G26-H26*Допущения!$C$29)/Допущения!$C$31</f>
        <v>157.334296256046</v>
      </c>
      <c r="J26" s="25" t="n">
        <f aca="false">IF(A26&gt;=Допущения!$C$35,Допущения!$C$36,0)</f>
        <v>20</v>
      </c>
      <c r="K26" s="25" t="n">
        <f aca="false">H26+I26+J26</f>
        <v>377.334296256046</v>
      </c>
      <c r="L26" s="25" t="n">
        <f aca="false">(L25-K25)*(1-Допущения!$C$44)+K25*(1-Допущения!$C$43)+K26</f>
        <v>2254.3574160119</v>
      </c>
      <c r="M26" s="25" t="n">
        <f aca="false">IF(A26&gt;=Допущения!$C$38,Допущения!$C$73/Допущения!$C$42*MIN(Допущения!$C$42,A26-Допущения!$C$38+1),0)</f>
        <v>20</v>
      </c>
      <c r="N26" s="25" t="n">
        <f aca="false">N25*(1-Допущения!$C$45)+M26</f>
        <v>246.25552220653</v>
      </c>
      <c r="O26" s="25" t="n">
        <f aca="false">L26+N26</f>
        <v>2500.61293821843</v>
      </c>
      <c r="P26" s="25" t="n">
        <f aca="false">L26*Допущения!$C$25</f>
        <v>338.153612401785</v>
      </c>
      <c r="Q26" s="25" t="n">
        <f aca="false">L26*(1-Допущения!$C$25)+N26</f>
        <v>2162.45932581665</v>
      </c>
      <c r="R26" s="17" t="n">
        <f aca="false">MAX(Допущения!$C$18,ROUNDUP(Q26/Допущения!$C$68+P26/Допущения!$C$69,0))</f>
        <v>31</v>
      </c>
      <c r="S26" s="17" t="n">
        <f aca="false">ROUNDUP(R26/Допущения!$C$48,0)</f>
        <v>3</v>
      </c>
      <c r="T26" s="17" t="n">
        <f aca="false">L26*F26/(1+Допущения!$C$6)</f>
        <v>5392725.24473428</v>
      </c>
      <c r="U26" s="17" t="n">
        <f aca="false">N26*Допущения!$C$28*E26/(1+Допущения!$C$6)</f>
        <v>429796.625765872</v>
      </c>
      <c r="V26" s="17" t="n">
        <f aca="false">O26*Допущения!$C$26*Допущения!$C$27/(1+Допущения!$C$6)</f>
        <v>307452.410436692</v>
      </c>
      <c r="W26" s="17" t="n">
        <f aca="false">T26+U26+V26</f>
        <v>6129974.28093685</v>
      </c>
      <c r="X26" s="17" t="n">
        <f aca="false">J26*Допущения!$C$37</f>
        <v>10000</v>
      </c>
      <c r="Y26" s="17" t="n">
        <f aca="false">(R26*Допущения!$C$47+S26*Допущения!$C$49)*D26*Допущения!$C$9</f>
        <v>3951309.6</v>
      </c>
      <c r="Z26" s="17" t="n">
        <f aca="false">(MAX(0,R26-R25)+R26*Допущения!$C$50/12)*Допущения!$C$51*D26</f>
        <v>209790</v>
      </c>
      <c r="AA26" s="17" t="n">
        <f aca="false">O26*(Допущения!$C$53+Допущения!$C$54)+(L26*F26+N26*Допущения!$C$28*E26)*Допущения!$C$13</f>
        <v>1040586.30272591</v>
      </c>
      <c r="AB26" s="17" t="n">
        <f aca="false">(R26+S26)*Допущения!$C$52</f>
        <v>91800</v>
      </c>
      <c r="AC26" s="17" t="n">
        <f aca="false">SUMPRODUCT(Допущения!$B$84:$B$91,Допущения!$C$84:$C$91,--(Допущения!$D$84:$D$91&lt;=A26))*D26*Допущения!$C$9</f>
        <v>2123301.6</v>
      </c>
      <c r="AD26" s="17" t="n">
        <f aca="false">(AC26+Y26)*Допущения!$C$14</f>
        <v>607461.12</v>
      </c>
      <c r="AE26" s="17" t="n">
        <f aca="false">Допущения!$C$55+Допущения!$C$56*O26/1000+Допущения!$C$57</f>
        <v>160004.903505747</v>
      </c>
      <c r="AF26" s="17" t="n">
        <f aca="false">SUMIF(Допущения!$B$95:$B$103,A26,Допущения!$C$95:$C$103)</f>
        <v>0</v>
      </c>
      <c r="AG26" s="17" t="n">
        <v>0</v>
      </c>
      <c r="AH26" s="17" t="n">
        <f aca="false">G26+SUM(X26:AG26)</f>
        <v>9674260.748152</v>
      </c>
      <c r="AI26" s="17" t="n">
        <f aca="false">W26-AH26</f>
        <v>-3544286.46721515</v>
      </c>
      <c r="AJ26" s="17" t="n">
        <f aca="false">AJ25+AI26</f>
        <v>-62032812.0413148</v>
      </c>
      <c r="AK26" s="17" t="n">
        <f aca="false">O26*Допущения!$C$58*Допущения!$C$59</f>
        <v>41260.1134806041</v>
      </c>
      <c r="AL26" s="17" t="n">
        <f aca="false">T26*Допущения!$C$72</f>
        <v>271902.11317988</v>
      </c>
      <c r="AM26" s="17" t="n">
        <f aca="false">IF(MOD(A26,12)=0,INDEX($F$70:$F$74,B26),0)</f>
        <v>0</v>
      </c>
      <c r="AN26" s="17" t="n">
        <f aca="false">AI26-AM26</f>
        <v>-3544286.46721515</v>
      </c>
      <c r="AO26" s="26" t="n">
        <f aca="false">1/(1+Допущения!$C$74)^A26</f>
        <v>0.706106641364793</v>
      </c>
      <c r="AP26" s="21" t="str">
        <f aca="false">IF(AND(A26&gt;Допущения!$C$19,MIN(AI26:AI$65)&gt;0),A26,"")</f>
        <v/>
      </c>
      <c r="AQ26" s="21" t="str">
        <f aca="false">IF(MIN(AJ26:AJ$65)&gt;0,A26,"")</f>
        <v/>
      </c>
    </row>
    <row r="27" customFormat="false" ht="15" hidden="false" customHeight="false" outlineLevel="0" collapsed="false">
      <c r="A27" s="28" t="n">
        <v>22</v>
      </c>
      <c r="B27" s="28" t="n">
        <f aca="false">INT((A27-1)/12)+1</f>
        <v>2</v>
      </c>
      <c r="C27" s="12" t="s">
        <v>462</v>
      </c>
      <c r="D27" s="15" t="n">
        <f aca="false">(1+Допущения!$C$11)^(B27-1)</f>
        <v>1.08</v>
      </c>
      <c r="E27" s="15" t="n">
        <f aca="false">(1+Допущения!$C$12)^(B27-1)</f>
        <v>1.07</v>
      </c>
      <c r="F27" s="17" t="n">
        <f aca="false">Допущения!$C$71*E27</f>
        <v>2918.4036</v>
      </c>
      <c r="G27" s="17" t="n">
        <f aca="false">MIN(G26*(1+Допущения!$C$33),Допущения!$C$34)</f>
        <v>1598407.79967397</v>
      </c>
      <c r="H27" s="25" t="n">
        <f aca="false">MIN(Допущения!$C$30,G27/Допущения!$C$29)</f>
        <v>200</v>
      </c>
      <c r="I27" s="25" t="n">
        <f aca="false">MAX(0,G27-H27*Допущения!$C$29)/Допущения!$C$31</f>
        <v>173.12103995653</v>
      </c>
      <c r="J27" s="25" t="n">
        <f aca="false">IF(A27&gt;=Допущения!$C$35,Допущения!$C$36,0)</f>
        <v>20</v>
      </c>
      <c r="K27" s="25" t="n">
        <f aca="false">H27+I27+J27</f>
        <v>393.12103995653</v>
      </c>
      <c r="L27" s="25" t="n">
        <f aca="false">(L26-K26)*(1-Допущения!$C$44)+K26*(1-Допущения!$C$43)+K27</f>
        <v>2365.24960269835</v>
      </c>
      <c r="M27" s="25" t="n">
        <f aca="false">IF(A27&gt;=Допущения!$C$38,Допущения!$C$73/Допущения!$C$42*MIN(Допущения!$C$42,A27-Допущения!$C$38+1),0)</f>
        <v>20</v>
      </c>
      <c r="N27" s="25" t="n">
        <f aca="false">N26*(1-Допущения!$C$45)+M27</f>
        <v>261.330411762399</v>
      </c>
      <c r="O27" s="25" t="n">
        <f aca="false">L27+N27</f>
        <v>2626.58001446074</v>
      </c>
      <c r="P27" s="25" t="n">
        <f aca="false">L27*Допущения!$C$25</f>
        <v>354.787440404752</v>
      </c>
      <c r="Q27" s="25" t="n">
        <f aca="false">L27*(1-Допущения!$C$25)+N27</f>
        <v>2271.79257405599</v>
      </c>
      <c r="R27" s="17" t="n">
        <f aca="false">MAX(Допущения!$C$18,ROUNDUP(Q27/Допущения!$C$68+P27/Допущения!$C$69,0))</f>
        <v>33</v>
      </c>
      <c r="S27" s="17" t="n">
        <f aca="false">ROUNDUP(R27/Допущения!$C$48,0)</f>
        <v>3</v>
      </c>
      <c r="T27" s="17" t="n">
        <f aca="false">L27*F27/(1+Допущения!$C$6)</f>
        <v>5657994.22574871</v>
      </c>
      <c r="U27" s="17" t="n">
        <f aca="false">N27*Допущения!$C$28*E27/(1+Допущения!$C$6)</f>
        <v>456107.250627604</v>
      </c>
      <c r="V27" s="17" t="n">
        <f aca="false">O27*Допущения!$C$26*Допущения!$C$27/(1+Допущения!$C$6)</f>
        <v>322940.165712387</v>
      </c>
      <c r="W27" s="17" t="n">
        <f aca="false">T27+U27+V27</f>
        <v>6437041.6420887</v>
      </c>
      <c r="X27" s="17" t="n">
        <f aca="false">J27*Допущения!$C$37</f>
        <v>10000</v>
      </c>
      <c r="Y27" s="17" t="n">
        <f aca="false">(R27*Допущения!$C$47+S27*Допущения!$C$49)*D27*Допущения!$C$9</f>
        <v>4176295.2</v>
      </c>
      <c r="Z27" s="17" t="n">
        <f aca="false">(MAX(0,R27-R26)+R27*Допущения!$C$50/12)*Допущения!$C$51*D27</f>
        <v>213570</v>
      </c>
      <c r="AA27" s="17" t="n">
        <f aca="false">O27*(Допущения!$C$53+Допущения!$C$54)+(L27*F27+N27*Допущения!$C$28*E27)*Допущения!$C$13</f>
        <v>1092967.3736994</v>
      </c>
      <c r="AB27" s="17" t="n">
        <f aca="false">(R27+S27)*Допущения!$C$52</f>
        <v>97200</v>
      </c>
      <c r="AC27" s="17" t="n">
        <f aca="false">SUMPRODUCT(Допущения!$B$84:$B$91,Допущения!$C$84:$C$91,--(Допущения!$D$84:$D$91&lt;=A27))*D27*Допущения!$C$9</f>
        <v>2123301.6</v>
      </c>
      <c r="AD27" s="17" t="n">
        <f aca="false">(AC27+Y27)*Допущения!$C$14</f>
        <v>629959.68</v>
      </c>
      <c r="AE27" s="17" t="n">
        <f aca="false">Допущения!$C$55+Допущения!$C$56*O27/1000+Допущения!$C$57</f>
        <v>161012.640115686</v>
      </c>
      <c r="AF27" s="17" t="n">
        <f aca="false">SUMIF(Допущения!$B$95:$B$103,A27,Допущения!$C$95:$C$103)</f>
        <v>0</v>
      </c>
      <c r="AG27" s="17" t="n">
        <v>0</v>
      </c>
      <c r="AH27" s="17" t="n">
        <f aca="false">G27+SUM(X27:AG27)</f>
        <v>10102714.2934891</v>
      </c>
      <c r="AI27" s="17" t="n">
        <f aca="false">W27-AH27</f>
        <v>-3665672.65140036</v>
      </c>
      <c r="AJ27" s="17" t="n">
        <f aca="false">AJ26+AI27</f>
        <v>-65698484.6927151</v>
      </c>
      <c r="AK27" s="17" t="n">
        <f aca="false">O27*Допущения!$C$58*Допущения!$C$59</f>
        <v>43338.5702386023</v>
      </c>
      <c r="AL27" s="17" t="n">
        <f aca="false">T27*Допущения!$C$72</f>
        <v>285277.019785649</v>
      </c>
      <c r="AM27" s="17" t="n">
        <f aca="false">IF(MOD(A27,12)=0,INDEX($F$70:$F$74,B27),0)</f>
        <v>0</v>
      </c>
      <c r="AN27" s="17" t="n">
        <f aca="false">AI27-AM27</f>
        <v>-3665672.65140036</v>
      </c>
      <c r="AO27" s="26" t="n">
        <f aca="false">1/(1+Допущения!$C$74)^A27</f>
        <v>0.694502228715381</v>
      </c>
      <c r="AP27" s="21" t="str">
        <f aca="false">IF(AND(A27&gt;Допущения!$C$19,MIN(AI27:AI$65)&gt;0),A27,"")</f>
        <v/>
      </c>
      <c r="AQ27" s="21" t="str">
        <f aca="false">IF(MIN(AJ27:AJ$65)&gt;0,A27,"")</f>
        <v/>
      </c>
    </row>
    <row r="28" customFormat="false" ht="15" hidden="false" customHeight="false" outlineLevel="0" collapsed="false">
      <c r="A28" s="28" t="n">
        <v>23</v>
      </c>
      <c r="B28" s="28" t="n">
        <f aca="false">INT((A28-1)/12)+1</f>
        <v>2</v>
      </c>
      <c r="C28" s="12" t="s">
        <v>462</v>
      </c>
      <c r="D28" s="15" t="n">
        <f aca="false">(1+Допущения!$C$11)^(B28-1)</f>
        <v>1.08</v>
      </c>
      <c r="E28" s="15" t="n">
        <f aca="false">(1+Допущения!$C$12)^(B28-1)</f>
        <v>1.07</v>
      </c>
      <c r="F28" s="17" t="n">
        <f aca="false">Допущения!$C$71*E28</f>
        <v>2918.4036</v>
      </c>
      <c r="G28" s="17" t="n">
        <f aca="false">MIN(G27*(1+Допущения!$C$33),Допущения!$C$34)</f>
        <v>1726280.42364789</v>
      </c>
      <c r="H28" s="25" t="n">
        <f aca="false">MIN(Допущения!$C$30,G28/Допущения!$C$29)</f>
        <v>200</v>
      </c>
      <c r="I28" s="25" t="n">
        <f aca="false">MAX(0,G28-H28*Допущения!$C$29)/Допущения!$C$31</f>
        <v>190.170723153052</v>
      </c>
      <c r="J28" s="25" t="n">
        <f aca="false">IF(A28&gt;=Допущения!$C$35,Допущения!$C$36,0)</f>
        <v>20</v>
      </c>
      <c r="K28" s="25" t="n">
        <f aca="false">H28+I28+J28</f>
        <v>410.170723153052</v>
      </c>
      <c r="L28" s="25" t="n">
        <f aca="false">(L27-K27)*(1-Допущения!$C$44)+K27*(1-Допущения!$C$43)+K28</f>
        <v>2480.05767684727</v>
      </c>
      <c r="M28" s="25" t="n">
        <f aca="false">IF(A28&gt;=Допущения!$C$38,Допущения!$C$73/Допущения!$C$42*MIN(Допущения!$C$42,A28-Допущения!$C$38+1),0)</f>
        <v>20</v>
      </c>
      <c r="N28" s="25" t="n">
        <f aca="false">N27*(1-Допущения!$C$45)+M28</f>
        <v>276.103803527151</v>
      </c>
      <c r="O28" s="25" t="n">
        <f aca="false">L28+N28</f>
        <v>2756.16148037442</v>
      </c>
      <c r="P28" s="25" t="n">
        <f aca="false">L28*Допущения!$C$25</f>
        <v>372.00865152709</v>
      </c>
      <c r="Q28" s="25" t="n">
        <f aca="false">L28*(1-Допущения!$C$25)+N28</f>
        <v>2384.15282884733</v>
      </c>
      <c r="R28" s="17" t="n">
        <f aca="false">MAX(Допущения!$C$18,ROUNDUP(Q28/Допущения!$C$68+P28/Допущения!$C$69,0))</f>
        <v>34</v>
      </c>
      <c r="S28" s="17" t="n">
        <f aca="false">ROUNDUP(R28/Допущения!$C$48,0)</f>
        <v>3</v>
      </c>
      <c r="T28" s="17" t="n">
        <f aca="false">L28*F28/(1+Допущения!$C$6)</f>
        <v>5932630.53468746</v>
      </c>
      <c r="U28" s="17" t="n">
        <f aca="false">N28*Допущения!$C$28*E28/(1+Допущения!$C$6)</f>
        <v>481891.662992101</v>
      </c>
      <c r="V28" s="17" t="n">
        <f aca="false">O28*Допущения!$C$26*Допущения!$C$27/(1+Допущения!$C$6)</f>
        <v>338872.313160789</v>
      </c>
      <c r="W28" s="17" t="n">
        <f aca="false">T28+U28+V28</f>
        <v>6753394.51084035</v>
      </c>
      <c r="X28" s="17" t="n">
        <f aca="false">J28*Допущения!$C$37</f>
        <v>10000</v>
      </c>
      <c r="Y28" s="17" t="n">
        <f aca="false">(R28*Допущения!$C$47+S28*Допущения!$C$49)*D28*Допущения!$C$9</f>
        <v>4288788</v>
      </c>
      <c r="Z28" s="17" t="n">
        <f aca="false">(MAX(0,R28-R27)+R28*Допущения!$C$50/12)*Допущения!$C$51*D28</f>
        <v>139860</v>
      </c>
      <c r="AA28" s="17" t="n">
        <f aca="false">O28*(Допущения!$C$53+Допущения!$C$54)+(L28*F28+N28*Допущения!$C$28*E28)*Допущения!$C$13</f>
        <v>1146861.84779771</v>
      </c>
      <c r="AB28" s="17" t="n">
        <f aca="false">(R28+S28)*Допущения!$C$52</f>
        <v>99900</v>
      </c>
      <c r="AC28" s="17" t="n">
        <f aca="false">SUMPRODUCT(Допущения!$B$84:$B$91,Допущения!$C$84:$C$91,--(Допущения!$D$84:$D$91&lt;=A28))*D28*Допущения!$C$9</f>
        <v>2123301.6</v>
      </c>
      <c r="AD28" s="17" t="n">
        <f aca="false">(AC28+Y28)*Допущения!$C$14</f>
        <v>641208.96</v>
      </c>
      <c r="AE28" s="17" t="n">
        <f aca="false">Допущения!$C$55+Допущения!$C$56*O28/1000+Допущения!$C$57</f>
        <v>162049.291842995</v>
      </c>
      <c r="AF28" s="17" t="n">
        <f aca="false">SUMIF(Допущения!$B$95:$B$103,A28,Допущения!$C$95:$C$103)</f>
        <v>0</v>
      </c>
      <c r="AG28" s="17" t="n">
        <v>0</v>
      </c>
      <c r="AH28" s="17" t="n">
        <f aca="false">G28+SUM(X28:AG28)</f>
        <v>10338250.1232886</v>
      </c>
      <c r="AI28" s="17" t="n">
        <f aca="false">W28-AH28</f>
        <v>-3584855.61244824</v>
      </c>
      <c r="AJ28" s="17" t="n">
        <f aca="false">AJ27+AI28</f>
        <v>-69283340.3051634</v>
      </c>
      <c r="AK28" s="17" t="n">
        <f aca="false">O28*Допущения!$C$58*Допущения!$C$59</f>
        <v>45476.6644261779</v>
      </c>
      <c r="AL28" s="17" t="n">
        <f aca="false">T28*Допущения!$C$72</f>
        <v>299124.228639704</v>
      </c>
      <c r="AM28" s="17" t="n">
        <f aca="false">IF(MOD(A28,12)=0,INDEX($F$70:$F$74,B28),0)</f>
        <v>0</v>
      </c>
      <c r="AN28" s="17" t="n">
        <f aca="false">AI28-AM28</f>
        <v>-3584855.61244824</v>
      </c>
      <c r="AO28" s="26" t="n">
        <f aca="false">1/(1+Допущения!$C$74)^A28</f>
        <v>0.683088527192375</v>
      </c>
      <c r="AP28" s="21" t="str">
        <f aca="false">IF(AND(A28&gt;Допущения!$C$19,MIN(AI28:AI$65)&gt;0),A28,"")</f>
        <v/>
      </c>
      <c r="AQ28" s="21" t="str">
        <f aca="false">IF(MIN(AJ28:AJ$65)&gt;0,A28,"")</f>
        <v/>
      </c>
    </row>
    <row r="29" customFormat="false" ht="15" hidden="false" customHeight="false" outlineLevel="0" collapsed="false">
      <c r="A29" s="28" t="n">
        <v>24</v>
      </c>
      <c r="B29" s="28" t="n">
        <f aca="false">INT((A29-1)/12)+1</f>
        <v>2</v>
      </c>
      <c r="C29" s="12" t="s">
        <v>462</v>
      </c>
      <c r="D29" s="15" t="n">
        <f aca="false">(1+Допущения!$C$11)^(B29-1)</f>
        <v>1.08</v>
      </c>
      <c r="E29" s="15" t="n">
        <f aca="false">(1+Допущения!$C$12)^(B29-1)</f>
        <v>1.07</v>
      </c>
      <c r="F29" s="17" t="n">
        <f aca="false">Допущения!$C$71*E29</f>
        <v>2918.4036</v>
      </c>
      <c r="G29" s="17" t="n">
        <f aca="false">MIN(G28*(1+Допущения!$C$33),Допущения!$C$34)</f>
        <v>1864382.85753972</v>
      </c>
      <c r="H29" s="25" t="n">
        <f aca="false">MIN(Допущения!$C$30,G29/Допущения!$C$29)</f>
        <v>200</v>
      </c>
      <c r="I29" s="25" t="n">
        <f aca="false">MAX(0,G29-H29*Допущения!$C$29)/Допущения!$C$31</f>
        <v>208.584381005296</v>
      </c>
      <c r="J29" s="25" t="n">
        <f aca="false">IF(A29&gt;=Допущения!$C$35,Допущения!$C$36,0)</f>
        <v>20</v>
      </c>
      <c r="K29" s="25" t="n">
        <f aca="false">H29+I29+J29</f>
        <v>428.584381005296</v>
      </c>
      <c r="L29" s="25" t="n">
        <f aca="false">(L28-K28)*(1-Допущения!$C$44)+K28*(1-Допущения!$C$43)+K29</f>
        <v>2599.49134845346</v>
      </c>
      <c r="M29" s="25" t="n">
        <f aca="false">IF(A29&gt;=Допущения!$C$38,Допущения!$C$73/Допущения!$C$42*MIN(Допущения!$C$42,A29-Допущения!$C$38+1),0)</f>
        <v>20</v>
      </c>
      <c r="N29" s="25" t="n">
        <f aca="false">N28*(1-Допущения!$C$45)+M29</f>
        <v>290.581727456608</v>
      </c>
      <c r="O29" s="25" t="n">
        <f aca="false">L29+N29</f>
        <v>2890.07307591007</v>
      </c>
      <c r="P29" s="25" t="n">
        <f aca="false">L29*Допущения!$C$25</f>
        <v>389.923702268019</v>
      </c>
      <c r="Q29" s="25" t="n">
        <f aca="false">L29*(1-Допущения!$C$25)+N29</f>
        <v>2500.14937364205</v>
      </c>
      <c r="R29" s="17" t="n">
        <f aca="false">MAX(Допущения!$C$18,ROUNDUP(Q29/Допущения!$C$68+P29/Допущения!$C$69,0))</f>
        <v>36</v>
      </c>
      <c r="S29" s="17" t="n">
        <f aca="false">ROUNDUP(R29/Допущения!$C$48,0)</f>
        <v>3</v>
      </c>
      <c r="T29" s="17" t="n">
        <f aca="false">L29*F29/(1+Допущения!$C$6)</f>
        <v>6218331.89302904</v>
      </c>
      <c r="U29" s="17" t="n">
        <f aca="false">N29*Допущения!$C$28*E29/(1+Допущения!$C$6)</f>
        <v>507160.387109309</v>
      </c>
      <c r="V29" s="17" t="n">
        <f aca="false">O29*Допущения!$C$26*Допущения!$C$27/(1+Допущения!$C$6)</f>
        <v>355336.8535955</v>
      </c>
      <c r="W29" s="17" t="n">
        <f aca="false">T29+U29+V29</f>
        <v>7080829.13373385</v>
      </c>
      <c r="X29" s="17" t="n">
        <f aca="false">J29*Допущения!$C$37</f>
        <v>10000</v>
      </c>
      <c r="Y29" s="17" t="n">
        <f aca="false">(R29*Допущения!$C$47+S29*Допущения!$C$49)*D29*Допущения!$C$9</f>
        <v>4513773.6</v>
      </c>
      <c r="Z29" s="17" t="n">
        <f aca="false">(MAX(0,R29-R28)+R29*Допущения!$C$50/12)*Допущения!$C$51*D29</f>
        <v>219240</v>
      </c>
      <c r="AA29" s="17" t="n">
        <f aca="false">O29*(Допущения!$C$53+Допущения!$C$54)+(L29*F29+N29*Допущения!$C$28*E29)*Допущения!$C$13</f>
        <v>1202568.48317901</v>
      </c>
      <c r="AB29" s="17" t="n">
        <f aca="false">(R29+S29)*Допущения!$C$52</f>
        <v>105300</v>
      </c>
      <c r="AC29" s="17" t="n">
        <f aca="false">SUMPRODUCT(Допущения!$B$84:$B$91,Допущения!$C$84:$C$91,--(Допущения!$D$84:$D$91&lt;=A29))*D29*Допущения!$C$9</f>
        <v>2123301.6</v>
      </c>
      <c r="AD29" s="17" t="n">
        <f aca="false">(AC29+Y29)*Допущения!$C$14</f>
        <v>663707.52</v>
      </c>
      <c r="AE29" s="17" t="n">
        <f aca="false">Допущения!$C$55+Допущения!$C$56*O29/1000+Допущения!$C$57</f>
        <v>163120.584607281</v>
      </c>
      <c r="AF29" s="17" t="n">
        <f aca="false">SUMIF(Допущения!$B$95:$B$103,A29,Допущения!$C$95:$C$103)</f>
        <v>0</v>
      </c>
      <c r="AG29" s="17" t="n">
        <v>0</v>
      </c>
      <c r="AH29" s="17" t="n">
        <f aca="false">G29+SUM(X29:AG29)</f>
        <v>10865394.645326</v>
      </c>
      <c r="AI29" s="17" t="n">
        <f aca="false">W29-AH29</f>
        <v>-3784565.51159217</v>
      </c>
      <c r="AJ29" s="17" t="n">
        <f aca="false">AJ28+AI29</f>
        <v>-73067905.8167556</v>
      </c>
      <c r="AK29" s="17" t="n">
        <f aca="false">O29*Допущения!$C$58*Допущения!$C$59</f>
        <v>47686.2057525161</v>
      </c>
      <c r="AL29" s="17" t="n">
        <f aca="false">T29*Допущения!$C$72</f>
        <v>313529.339144321</v>
      </c>
      <c r="AM29" s="17" t="n">
        <f aca="false">IF(MOD(A29,12)=0,INDEX($F$70:$F$74,B29),0)</f>
        <v>0</v>
      </c>
      <c r="AN29" s="17" t="n">
        <f aca="false">AI29-AM29</f>
        <v>-3784565.51159217</v>
      </c>
      <c r="AO29" s="26" t="n">
        <f aca="false">1/(1+Допущения!$C$74)^A29</f>
        <v>0.671862402579953</v>
      </c>
      <c r="AP29" s="21" t="str">
        <f aca="false">IF(AND(A29&gt;Допущения!$C$19,MIN(AI29:AI$65)&gt;0),A29,"")</f>
        <v/>
      </c>
      <c r="AQ29" s="21" t="str">
        <f aca="false">IF(MIN(AJ29:AJ$65)&gt;0,A29,"")</f>
        <v/>
      </c>
    </row>
    <row r="30" customFormat="false" ht="15" hidden="false" customHeight="false" outlineLevel="0" collapsed="false">
      <c r="A30" s="28" t="n">
        <v>25</v>
      </c>
      <c r="B30" s="28" t="n">
        <f aca="false">INT((A30-1)/12)+1</f>
        <v>3</v>
      </c>
      <c r="C30" s="12" t="s">
        <v>462</v>
      </c>
      <c r="D30" s="15" t="n">
        <f aca="false">(1+Допущения!$C$11)^(B30-1)</f>
        <v>1.1664</v>
      </c>
      <c r="E30" s="15" t="n">
        <f aca="false">(1+Допущения!$C$12)^(B30-1)</f>
        <v>1.1449</v>
      </c>
      <c r="F30" s="17" t="n">
        <f aca="false">Допущения!$C$71*E30</f>
        <v>3122.691852</v>
      </c>
      <c r="G30" s="17" t="n">
        <f aca="false">MIN(G29*(1+Допущения!$C$33),Допущения!$C$34)</f>
        <v>2013533.4861429</v>
      </c>
      <c r="H30" s="25" t="n">
        <f aca="false">MIN(Допущения!$C$30,G30/Допущения!$C$29)</f>
        <v>200</v>
      </c>
      <c r="I30" s="25" t="n">
        <f aca="false">MAX(0,G30-H30*Допущения!$C$29)/Допущения!$C$31</f>
        <v>228.47113148572</v>
      </c>
      <c r="J30" s="25" t="n">
        <f aca="false">IF(A30&gt;=Допущения!$C$35,Допущения!$C$36,0)</f>
        <v>20</v>
      </c>
      <c r="K30" s="25" t="n">
        <f aca="false">H30+I30+J30</f>
        <v>448.47113148572</v>
      </c>
      <c r="L30" s="25" t="n">
        <f aca="false">(L29-K29)*(1-Допущения!$C$44)+K29*(1-Допущения!$C$43)+K30</f>
        <v>2724.28538919147</v>
      </c>
      <c r="M30" s="25" t="n">
        <f aca="false">IF(A30&gt;=Допущения!$C$38,Допущения!$C$73/Допущения!$C$42*MIN(Допущения!$C$42,A30-Допущения!$C$38+1),0)</f>
        <v>20</v>
      </c>
      <c r="N30" s="25" t="n">
        <f aca="false">N29*(1-Допущения!$C$45)+M30</f>
        <v>304.770092907476</v>
      </c>
      <c r="O30" s="25" t="n">
        <f aca="false">L30+N30</f>
        <v>3029.05548209895</v>
      </c>
      <c r="P30" s="25" t="n">
        <f aca="false">L30*Допущения!$C$25</f>
        <v>408.642808378721</v>
      </c>
      <c r="Q30" s="25" t="n">
        <f aca="false">L30*(1-Допущения!$C$25)+N30</f>
        <v>2620.41267372023</v>
      </c>
      <c r="R30" s="17" t="n">
        <f aca="false">MAX(Допущения!$C$18,ROUNDUP(Q30/Допущения!$C$68+P30/Допущения!$C$69,0))</f>
        <v>37</v>
      </c>
      <c r="S30" s="17" t="n">
        <f aca="false">ROUNDUP(R30/Допущения!$C$48,0)</f>
        <v>4</v>
      </c>
      <c r="T30" s="17" t="n">
        <f aca="false">L30*F30/(1+Допущения!$C$6)</f>
        <v>6973035.8912712</v>
      </c>
      <c r="U30" s="17" t="n">
        <f aca="false">N30*Допущения!$C$28*E30/(1+Допущения!$C$6)</f>
        <v>569158.398316264</v>
      </c>
      <c r="V30" s="17" t="n">
        <f aca="false">O30*Допущения!$C$26*Допущения!$C$27/(1+Допущения!$C$6)</f>
        <v>372424.854356428</v>
      </c>
      <c r="W30" s="17" t="n">
        <f aca="false">T30+U30+V30</f>
        <v>7914619.14394389</v>
      </c>
      <c r="X30" s="17" t="n">
        <f aca="false">J30*Допущения!$C$37</f>
        <v>10000</v>
      </c>
      <c r="Y30" s="17" t="n">
        <f aca="false">(R30*Допущения!$C$47+S30*Допущения!$C$49)*D30*Допущения!$C$9</f>
        <v>5163419.52</v>
      </c>
      <c r="Z30" s="17" t="n">
        <f aca="false">(MAX(0,R30-R29)+R30*Допущения!$C$50/12)*Допущения!$C$51*D30</f>
        <v>157172.4</v>
      </c>
      <c r="AA30" s="17" t="n">
        <f aca="false">O30*(Допущения!$C$53+Допущения!$C$54)+(L30*F30+N30*Допущения!$C$28*E30)*Допущения!$C$13</f>
        <v>1271231.83756546</v>
      </c>
      <c r="AB30" s="17" t="n">
        <f aca="false">(R30+S30)*Допущения!$C$52</f>
        <v>110700</v>
      </c>
      <c r="AC30" s="17" t="n">
        <f aca="false">SUMPRODUCT(Допущения!$B$84:$B$91,Допущения!$C$84:$C$91,--(Допущения!$D$84:$D$91&lt;=A30))*D30*Допущения!$C$9</f>
        <v>2293165.728</v>
      </c>
      <c r="AD30" s="17" t="n">
        <f aca="false">(AC30+Y30)*Допущения!$C$14</f>
        <v>745658.5248</v>
      </c>
      <c r="AE30" s="17" t="n">
        <f aca="false">Допущения!$C$55+Допущения!$C$56*O30/1000+Допущения!$C$57</f>
        <v>164232.443856792</v>
      </c>
      <c r="AF30" s="17" t="n">
        <f aca="false">SUMIF(Допущения!$B$95:$B$103,A30,Допущения!$C$95:$C$103)</f>
        <v>0</v>
      </c>
      <c r="AG30" s="17" t="n">
        <v>0</v>
      </c>
      <c r="AH30" s="17" t="n">
        <f aca="false">G30+SUM(X30:AG30)</f>
        <v>11929113.9403651</v>
      </c>
      <c r="AI30" s="17" t="n">
        <f aca="false">W30-AH30</f>
        <v>-4014494.79642126</v>
      </c>
      <c r="AJ30" s="17" t="n">
        <f aca="false">AJ29+AI30</f>
        <v>-77082400.6131768</v>
      </c>
      <c r="AK30" s="17" t="n">
        <f aca="false">O30*Допущения!$C$58*Допущения!$C$59</f>
        <v>49979.4154546326</v>
      </c>
      <c r="AL30" s="17" t="n">
        <f aca="false">T30*Допущения!$C$72</f>
        <v>351581.641576699</v>
      </c>
      <c r="AM30" s="17" t="n">
        <f aca="false">IF(MOD(A30,12)=0,INDEX($F$70:$F$74,B30),0)</f>
        <v>0</v>
      </c>
      <c r="AN30" s="17" t="n">
        <f aca="false">AI30-AM30</f>
        <v>-4014494.79642126</v>
      </c>
      <c r="AO30" s="26" t="n">
        <f aca="false">1/(1+Допущения!$C$74)^A30</f>
        <v>0.660820772171133</v>
      </c>
      <c r="AP30" s="21" t="str">
        <f aca="false">IF(AND(A30&gt;Допущения!$C$19,MIN(AI30:AI$65)&gt;0),A30,"")</f>
        <v/>
      </c>
      <c r="AQ30" s="21" t="str">
        <f aca="false">IF(MIN(AJ30:AJ$65)&gt;0,A30,"")</f>
        <v/>
      </c>
    </row>
    <row r="31" customFormat="false" ht="15" hidden="false" customHeight="false" outlineLevel="0" collapsed="false">
      <c r="A31" s="28" t="n">
        <v>26</v>
      </c>
      <c r="B31" s="28" t="n">
        <f aca="false">INT((A31-1)/12)+1</f>
        <v>3</v>
      </c>
      <c r="C31" s="12" t="s">
        <v>462</v>
      </c>
      <c r="D31" s="15" t="n">
        <f aca="false">(1+Допущения!$C$11)^(B31-1)</f>
        <v>1.1664</v>
      </c>
      <c r="E31" s="15" t="n">
        <f aca="false">(1+Допущения!$C$12)^(B31-1)</f>
        <v>1.1449</v>
      </c>
      <c r="F31" s="17" t="n">
        <f aca="false">Допущения!$C$71*E31</f>
        <v>3122.691852</v>
      </c>
      <c r="G31" s="17" t="n">
        <f aca="false">MIN(G30*(1+Допущения!$C$33),Допущения!$C$34)</f>
        <v>2174616.16503433</v>
      </c>
      <c r="H31" s="25" t="n">
        <f aca="false">MIN(Допущения!$C$30,G31/Допущения!$C$29)</f>
        <v>200</v>
      </c>
      <c r="I31" s="25" t="n">
        <f aca="false">MAX(0,G31-H31*Допущения!$C$29)/Допущения!$C$31</f>
        <v>249.948822004578</v>
      </c>
      <c r="J31" s="25" t="n">
        <f aca="false">IF(A31&gt;=Допущения!$C$35,Допущения!$C$36,0)</f>
        <v>20</v>
      </c>
      <c r="K31" s="25" t="n">
        <f aca="false">H31+I31+J31</f>
        <v>469.948822004578</v>
      </c>
      <c r="L31" s="25" t="n">
        <f aca="false">(L30-K30)*(1-Допущения!$C$44)+K30*(1-Допущения!$C$43)+K31</f>
        <v>2855.20417455959</v>
      </c>
      <c r="M31" s="25" t="n">
        <f aca="false">IF(A31&gt;=Допущения!$C$38,Допущения!$C$73/Допущения!$C$42*MIN(Допущения!$C$42,A31-Допущения!$C$38+1),0)</f>
        <v>20</v>
      </c>
      <c r="N31" s="25" t="n">
        <f aca="false">N30*(1-Допущения!$C$45)+M31</f>
        <v>318.674691049327</v>
      </c>
      <c r="O31" s="25" t="n">
        <f aca="false">L31+N31</f>
        <v>3173.87886560891</v>
      </c>
      <c r="P31" s="25" t="n">
        <f aca="false">L31*Допущения!$C$25</f>
        <v>428.280626183938</v>
      </c>
      <c r="Q31" s="25" t="n">
        <f aca="false">L31*(1-Допущения!$C$25)+N31</f>
        <v>2745.59823942498</v>
      </c>
      <c r="R31" s="17" t="n">
        <f aca="false">MAX(Допущения!$C$18,ROUNDUP(Q31/Допущения!$C$68+P31/Допущения!$C$69,0))</f>
        <v>39</v>
      </c>
      <c r="S31" s="17" t="n">
        <f aca="false">ROUNDUP(R31/Допущения!$C$48,0)</f>
        <v>4</v>
      </c>
      <c r="T31" s="17" t="n">
        <f aca="false">L31*F31/(1+Допущения!$C$6)</f>
        <v>7308133.45220788</v>
      </c>
      <c r="U31" s="17" t="n">
        <f aca="false">N31*Допущения!$C$28*E31/(1+Допущения!$C$6)</f>
        <v>595125.246743381</v>
      </c>
      <c r="V31" s="17" t="n">
        <f aca="false">O31*Допущения!$C$26*Допущения!$C$27/(1+Допущения!$C$6)</f>
        <v>390231.00806667</v>
      </c>
      <c r="W31" s="17" t="n">
        <f aca="false">T31+U31+V31</f>
        <v>8293489.70701793</v>
      </c>
      <c r="X31" s="17" t="n">
        <f aca="false">J31*Допущения!$C$37</f>
        <v>10000</v>
      </c>
      <c r="Y31" s="17" t="n">
        <f aca="false">(R31*Допущения!$C$47+S31*Допущения!$C$49)*D31*Допущения!$C$9</f>
        <v>5406403.968</v>
      </c>
      <c r="Z31" s="17" t="n">
        <f aca="false">(MAX(0,R31-R30)+R31*Допущения!$C$50/12)*Допущения!$C$51*D31</f>
        <v>242902.8</v>
      </c>
      <c r="AA31" s="17" t="n">
        <f aca="false">O31*(Допущения!$C$53+Допущения!$C$54)+(L31*F31+N31*Допущения!$C$28*E31)*Допущения!$C$13</f>
        <v>1332021.34697622</v>
      </c>
      <c r="AB31" s="17" t="n">
        <f aca="false">(R31+S31)*Допущения!$C$52</f>
        <v>116100</v>
      </c>
      <c r="AC31" s="17" t="n">
        <f aca="false">SUMPRODUCT(Допущения!$B$84:$B$91,Допущения!$C$84:$C$91,--(Допущения!$D$84:$D$91&lt;=A31))*D31*Допущения!$C$9</f>
        <v>2293165.728</v>
      </c>
      <c r="AD31" s="17" t="n">
        <f aca="false">(AC31+Y31)*Допущения!$C$14</f>
        <v>769956.9696</v>
      </c>
      <c r="AE31" s="17" t="n">
        <f aca="false">Допущения!$C$55+Допущения!$C$56*O31/1000+Допущения!$C$57</f>
        <v>165391.030924871</v>
      </c>
      <c r="AF31" s="17" t="n">
        <f aca="false">SUMIF(Допущения!$B$95:$B$103,A31,Допущения!$C$95:$C$103)</f>
        <v>0</v>
      </c>
      <c r="AG31" s="17" t="n">
        <v>0</v>
      </c>
      <c r="AH31" s="17" t="n">
        <f aca="false">G31+SUM(X31:AG31)</f>
        <v>12510558.0085354</v>
      </c>
      <c r="AI31" s="17" t="n">
        <f aca="false">W31-AH31</f>
        <v>-4217068.3015175</v>
      </c>
      <c r="AJ31" s="17" t="n">
        <f aca="false">AJ30+AI31</f>
        <v>-81299468.9146943</v>
      </c>
      <c r="AK31" s="17" t="n">
        <f aca="false">O31*Допущения!$C$58*Допущения!$C$59</f>
        <v>52369.0012825471</v>
      </c>
      <c r="AL31" s="17" t="n">
        <f aca="false">T31*Допущения!$C$72</f>
        <v>368477.316918044</v>
      </c>
      <c r="AM31" s="17" t="n">
        <f aca="false">IF(MOD(A31,12)=0,INDEX($F$70:$F$74,B31),0)</f>
        <v>0</v>
      </c>
      <c r="AN31" s="17" t="n">
        <f aca="false">AI31-AM31</f>
        <v>-4217068.3015175</v>
      </c>
      <c r="AO31" s="26" t="n">
        <f aca="false">1/(1+Допущения!$C$74)^A31</f>
        <v>0.649960603921256</v>
      </c>
      <c r="AP31" s="21" t="str">
        <f aca="false">IF(AND(A31&gt;Допущения!$C$19,MIN(AI31:AI$65)&gt;0),A31,"")</f>
        <v/>
      </c>
      <c r="AQ31" s="21" t="str">
        <f aca="false">IF(MIN(AJ31:AJ$65)&gt;0,A31,"")</f>
        <v/>
      </c>
    </row>
    <row r="32" customFormat="false" ht="15" hidden="false" customHeight="false" outlineLevel="0" collapsed="false">
      <c r="A32" s="28" t="n">
        <v>27</v>
      </c>
      <c r="B32" s="28" t="n">
        <f aca="false">INT((A32-1)/12)+1</f>
        <v>3</v>
      </c>
      <c r="C32" s="12" t="s">
        <v>462</v>
      </c>
      <c r="D32" s="15" t="n">
        <f aca="false">(1+Допущения!$C$11)^(B32-1)</f>
        <v>1.1664</v>
      </c>
      <c r="E32" s="15" t="n">
        <f aca="false">(1+Допущения!$C$12)^(B32-1)</f>
        <v>1.1449</v>
      </c>
      <c r="F32" s="17" t="n">
        <f aca="false">Допущения!$C$71*E32</f>
        <v>3122.691852</v>
      </c>
      <c r="G32" s="17" t="n">
        <f aca="false">MIN(G31*(1+Допущения!$C$33),Допущения!$C$34)</f>
        <v>2348585.45823708</v>
      </c>
      <c r="H32" s="25" t="n">
        <f aca="false">MIN(Допущения!$C$30,G32/Допущения!$C$29)</f>
        <v>200</v>
      </c>
      <c r="I32" s="25" t="n">
        <f aca="false">MAX(0,G32-H32*Допущения!$C$29)/Допущения!$C$31</f>
        <v>273.144727764944</v>
      </c>
      <c r="J32" s="25" t="n">
        <f aca="false">IF(A32&gt;=Допущения!$C$35,Допущения!$C$36,0)</f>
        <v>20</v>
      </c>
      <c r="K32" s="25" t="n">
        <f aca="false">H32+I32+J32</f>
        <v>493.144727764944</v>
      </c>
      <c r="L32" s="25" t="n">
        <f aca="false">(L31-K31)*(1-Допущения!$C$44)+K31*(1-Допущения!$C$43)+K32</f>
        <v>2993.04638641853</v>
      </c>
      <c r="M32" s="25" t="n">
        <f aca="false">IF(A32&gt;=Допущения!$C$38,Допущения!$C$73/Допущения!$C$42*MIN(Допущения!$C$42,A32-Допущения!$C$38+1),0)</f>
        <v>20</v>
      </c>
      <c r="N32" s="25" t="n">
        <f aca="false">N31*(1-Допущения!$C$45)+M32</f>
        <v>332.30119722834</v>
      </c>
      <c r="O32" s="25" t="n">
        <f aca="false">L32+N32</f>
        <v>3325.34758364687</v>
      </c>
      <c r="P32" s="25" t="n">
        <f aca="false">L32*Допущения!$C$25</f>
        <v>448.956957962779</v>
      </c>
      <c r="Q32" s="25" t="n">
        <f aca="false">L32*(1-Допущения!$C$25)+N32</f>
        <v>2876.39062568409</v>
      </c>
      <c r="R32" s="17" t="n">
        <f aca="false">MAX(Допущения!$C$18,ROUNDUP(Q32/Допущения!$C$68+P32/Допущения!$C$69,0))</f>
        <v>41</v>
      </c>
      <c r="S32" s="17" t="n">
        <f aca="false">ROUNDUP(R32/Допущения!$C$48,0)</f>
        <v>4</v>
      </c>
      <c r="T32" s="17" t="n">
        <f aca="false">L32*F32/(1+Допущения!$C$6)</f>
        <v>7660952.10125179</v>
      </c>
      <c r="U32" s="17" t="n">
        <f aca="false">N32*Допущения!$C$28*E32/(1+Допущения!$C$6)</f>
        <v>620572.758201956</v>
      </c>
      <c r="V32" s="17" t="n">
        <f aca="false">O32*Допущения!$C$26*Допущения!$C$27/(1+Допущения!$C$6)</f>
        <v>408854.211104123</v>
      </c>
      <c r="W32" s="17" t="n">
        <f aca="false">T32+U32+V32</f>
        <v>8690379.07055787</v>
      </c>
      <c r="X32" s="17" t="n">
        <f aca="false">J32*Допущения!$C$37</f>
        <v>10000</v>
      </c>
      <c r="Y32" s="17" t="n">
        <f aca="false">(R32*Допущения!$C$47+S32*Допущения!$C$49)*D32*Допущения!$C$9</f>
        <v>5649388.416</v>
      </c>
      <c r="Z32" s="17" t="n">
        <f aca="false">(MAX(0,R32-R31)+R32*Допущения!$C$50/12)*Допущения!$C$51*D32</f>
        <v>246985.2</v>
      </c>
      <c r="AA32" s="17" t="n">
        <f aca="false">O32*(Допущения!$C$53+Допущения!$C$54)+(L32*F32+N32*Допущения!$C$28*E32)*Допущения!$C$13</f>
        <v>1395614.15394471</v>
      </c>
      <c r="AB32" s="17" t="n">
        <f aca="false">(R32+S32)*Допущения!$C$52</f>
        <v>121500</v>
      </c>
      <c r="AC32" s="17" t="n">
        <f aca="false">SUMPRODUCT(Допущения!$B$84:$B$91,Допущения!$C$84:$C$91,--(Допущения!$D$84:$D$91&lt;=A32))*D32*Допущения!$C$9</f>
        <v>2293165.728</v>
      </c>
      <c r="AD32" s="17" t="n">
        <f aca="false">(AC32+Y32)*Допущения!$C$14</f>
        <v>794255.4144</v>
      </c>
      <c r="AE32" s="17" t="n">
        <f aca="false">Допущения!$C$55+Допущения!$C$56*O32/1000+Допущения!$C$57</f>
        <v>166602.780669175</v>
      </c>
      <c r="AF32" s="17" t="n">
        <f aca="false">SUMIF(Допущения!$B$95:$B$103,A32,Допущения!$C$95:$C$103)</f>
        <v>0</v>
      </c>
      <c r="AG32" s="17" t="n">
        <v>0</v>
      </c>
      <c r="AH32" s="17" t="n">
        <f aca="false">G32+SUM(X32:AG32)</f>
        <v>13026097.151251</v>
      </c>
      <c r="AI32" s="17" t="n">
        <f aca="false">W32-AH32</f>
        <v>-4335718.0806931</v>
      </c>
      <c r="AJ32" s="17" t="n">
        <f aca="false">AJ31+AI32</f>
        <v>-85635186.9953874</v>
      </c>
      <c r="AK32" s="17" t="n">
        <f aca="false">O32*Допущения!$C$58*Допущения!$C$59</f>
        <v>54868.2351301733</v>
      </c>
      <c r="AL32" s="17" t="n">
        <f aca="false">T32*Допущения!$C$72</f>
        <v>386266.49250009</v>
      </c>
      <c r="AM32" s="17" t="n">
        <f aca="false">IF(MOD(A32,12)=0,INDEX($F$70:$F$74,B32),0)</f>
        <v>0</v>
      </c>
      <c r="AN32" s="17" t="n">
        <f aca="false">AI32-AM32</f>
        <v>-4335718.0806931</v>
      </c>
      <c r="AO32" s="26" t="n">
        <f aca="false">1/(1+Допущения!$C$74)^A32</f>
        <v>0.639278915615386</v>
      </c>
      <c r="AP32" s="21" t="str">
        <f aca="false">IF(AND(A32&gt;Допущения!$C$19,MIN(AI32:AI$65)&gt;0),A32,"")</f>
        <v/>
      </c>
      <c r="AQ32" s="21" t="str">
        <f aca="false">IF(MIN(AJ32:AJ$65)&gt;0,A32,"")</f>
        <v/>
      </c>
    </row>
    <row r="33" customFormat="false" ht="15" hidden="false" customHeight="false" outlineLevel="0" collapsed="false">
      <c r="A33" s="28" t="n">
        <v>28</v>
      </c>
      <c r="B33" s="28" t="n">
        <f aca="false">INT((A33-1)/12)+1</f>
        <v>3</v>
      </c>
      <c r="C33" s="12" t="s">
        <v>462</v>
      </c>
      <c r="D33" s="15" t="n">
        <f aca="false">(1+Допущения!$C$11)^(B33-1)</f>
        <v>1.1664</v>
      </c>
      <c r="E33" s="15" t="n">
        <f aca="false">(1+Допущения!$C$12)^(B33-1)</f>
        <v>1.1449</v>
      </c>
      <c r="F33" s="17" t="n">
        <f aca="false">Допущения!$C$71*E33</f>
        <v>3122.691852</v>
      </c>
      <c r="G33" s="17" t="n">
        <f aca="false">MIN(G32*(1+Допущения!$C$33),Допущения!$C$34)</f>
        <v>2500000</v>
      </c>
      <c r="H33" s="25" t="n">
        <f aca="false">MIN(Допущения!$C$30,G33/Допущения!$C$29)</f>
        <v>200</v>
      </c>
      <c r="I33" s="25" t="n">
        <f aca="false">MAX(0,G33-H33*Допущения!$C$29)/Допущения!$C$31</f>
        <v>293.333333333333</v>
      </c>
      <c r="J33" s="25" t="n">
        <f aca="false">IF(A33&gt;=Допущения!$C$35,Допущения!$C$36,0)</f>
        <v>20</v>
      </c>
      <c r="K33" s="25" t="n">
        <f aca="false">H33+I33+J33</f>
        <v>513.333333333333</v>
      </c>
      <c r="L33" s="25" t="n">
        <f aca="false">(L32-K32)*(1-Допущения!$C$44)+K32*(1-Допущения!$C$43)+K33</f>
        <v>3133.78693234184</v>
      </c>
      <c r="M33" s="25" t="n">
        <f aca="false">IF(A33&gt;=Допущения!$C$38,Допущения!$C$73/Допущения!$C$42*MIN(Допущения!$C$42,A33-Допущения!$C$38+1),0)</f>
        <v>20</v>
      </c>
      <c r="N33" s="25" t="n">
        <f aca="false">N32*(1-Допущения!$C$45)+M33</f>
        <v>345.655173283773</v>
      </c>
      <c r="O33" s="25" t="n">
        <f aca="false">L33+N33</f>
        <v>3479.44210562562</v>
      </c>
      <c r="P33" s="25" t="n">
        <f aca="false">L33*Допущения!$C$25</f>
        <v>470.068039851277</v>
      </c>
      <c r="Q33" s="25" t="n">
        <f aca="false">L33*(1-Допущения!$C$25)+N33</f>
        <v>3009.37406577434</v>
      </c>
      <c r="R33" s="17" t="n">
        <f aca="false">MAX(Допущения!$C$18,ROUNDUP(Q33/Допущения!$C$68+P33/Допущения!$C$69,0))</f>
        <v>43</v>
      </c>
      <c r="S33" s="17" t="n">
        <f aca="false">ROUNDUP(R33/Допущения!$C$48,0)</f>
        <v>4</v>
      </c>
      <c r="T33" s="17" t="n">
        <f aca="false">L33*F33/(1+Допущения!$C$6)</f>
        <v>8021189.2783016</v>
      </c>
      <c r="U33" s="17" t="n">
        <f aca="false">N33*Допущения!$C$28*E33/(1+Допущения!$C$6)</f>
        <v>645511.319431359</v>
      </c>
      <c r="V33" s="17" t="n">
        <f aca="false">O33*Допущения!$C$26*Допущения!$C$27/(1+Допущения!$C$6)</f>
        <v>427800.258888396</v>
      </c>
      <c r="W33" s="17" t="n">
        <f aca="false">T33+U33+V33</f>
        <v>9094500.85662136</v>
      </c>
      <c r="X33" s="17" t="n">
        <f aca="false">J33*Допущения!$C$37</f>
        <v>10000</v>
      </c>
      <c r="Y33" s="17" t="n">
        <f aca="false">(R33*Допущения!$C$47+S33*Допущения!$C$49)*D33*Допущения!$C$9</f>
        <v>5892372.864</v>
      </c>
      <c r="Z33" s="17" t="n">
        <f aca="false">(MAX(0,R33-R32)+R33*Допущения!$C$50/12)*Допущения!$C$51*D33</f>
        <v>251067.6</v>
      </c>
      <c r="AA33" s="17" t="n">
        <f aca="false">O33*(Допущения!$C$53+Допущения!$C$54)+(L33*F33+N33*Допущения!$C$28*E33)*Допущения!$C$13</f>
        <v>1460317.11367957</v>
      </c>
      <c r="AB33" s="17" t="n">
        <f aca="false">(R33+S33)*Допущения!$C$52</f>
        <v>126900</v>
      </c>
      <c r="AC33" s="17" t="n">
        <f aca="false">SUMPRODUCT(Допущения!$B$84:$B$91,Допущения!$C$84:$C$91,--(Допущения!$D$84:$D$91&lt;=A33))*D33*Допущения!$C$9</f>
        <v>2293165.728</v>
      </c>
      <c r="AD33" s="17" t="n">
        <f aca="false">(AC33+Y33)*Допущения!$C$14</f>
        <v>818553.8592</v>
      </c>
      <c r="AE33" s="17" t="n">
        <f aca="false">Допущения!$C$55+Допущения!$C$56*O33/1000+Допущения!$C$57</f>
        <v>167835.536845005</v>
      </c>
      <c r="AF33" s="17" t="n">
        <f aca="false">SUMIF(Допущения!$B$95:$B$103,A33,Допущения!$C$95:$C$103)</f>
        <v>0</v>
      </c>
      <c r="AG33" s="17" t="n">
        <v>0</v>
      </c>
      <c r="AH33" s="17" t="n">
        <f aca="false">G33+SUM(X33:AG33)</f>
        <v>13520212.7017246</v>
      </c>
      <c r="AI33" s="17" t="n">
        <f aca="false">W33-AH33</f>
        <v>-4425711.84510322</v>
      </c>
      <c r="AJ33" s="17" t="n">
        <f aca="false">AJ32+AI33</f>
        <v>-90060898.8404906</v>
      </c>
      <c r="AK33" s="17" t="n">
        <f aca="false">O33*Допущения!$C$58*Допущения!$C$59</f>
        <v>57410.7947428227</v>
      </c>
      <c r="AL33" s="17" t="n">
        <f aca="false">T33*Допущения!$C$72</f>
        <v>404429.711511005</v>
      </c>
      <c r="AM33" s="17" t="n">
        <f aca="false">IF(MOD(A33,12)=0,INDEX($F$70:$F$74,B33),0)</f>
        <v>0</v>
      </c>
      <c r="AN33" s="17" t="n">
        <f aca="false">AI33-AM33</f>
        <v>-4425711.84510322</v>
      </c>
      <c r="AO33" s="26" t="n">
        <f aca="false">1/(1+Допущения!$C$74)^A33</f>
        <v>0.628772774049389</v>
      </c>
      <c r="AP33" s="21" t="str">
        <f aca="false">IF(AND(A33&gt;Допущения!$C$19,MIN(AI33:AI$65)&gt;0),A33,"")</f>
        <v/>
      </c>
      <c r="AQ33" s="21" t="str">
        <f aca="false">IF(MIN(AJ33:AJ$65)&gt;0,A33,"")</f>
        <v/>
      </c>
    </row>
    <row r="34" customFormat="false" ht="15" hidden="false" customHeight="false" outlineLevel="0" collapsed="false">
      <c r="A34" s="28" t="n">
        <v>29</v>
      </c>
      <c r="B34" s="28" t="n">
        <f aca="false">INT((A34-1)/12)+1</f>
        <v>3</v>
      </c>
      <c r="C34" s="12" t="s">
        <v>462</v>
      </c>
      <c r="D34" s="15" t="n">
        <f aca="false">(1+Допущения!$C$11)^(B34-1)</f>
        <v>1.1664</v>
      </c>
      <c r="E34" s="15" t="n">
        <f aca="false">(1+Допущения!$C$12)^(B34-1)</f>
        <v>1.1449</v>
      </c>
      <c r="F34" s="17" t="n">
        <f aca="false">Допущения!$C$71*E34</f>
        <v>3122.691852</v>
      </c>
      <c r="G34" s="17" t="n">
        <f aca="false">MIN(G33*(1+Допущения!$C$33),Допущения!$C$34)</f>
        <v>2500000</v>
      </c>
      <c r="H34" s="25" t="n">
        <f aca="false">MIN(Допущения!$C$30,G34/Допущения!$C$29)</f>
        <v>200</v>
      </c>
      <c r="I34" s="25" t="n">
        <f aca="false">MAX(0,G34-H34*Допущения!$C$29)/Допущения!$C$31</f>
        <v>293.333333333333</v>
      </c>
      <c r="J34" s="25" t="n">
        <f aca="false">IF(A34&gt;=Допущения!$C$35,Допущения!$C$36,0)</f>
        <v>20</v>
      </c>
      <c r="K34" s="25" t="n">
        <f aca="false">H34+I34+J34</f>
        <v>513.333333333333</v>
      </c>
      <c r="L34" s="25" t="n">
        <f aca="false">(L33-K33)*(1-Допущения!$C$44)+K33*(1-Допущения!$C$43)+K34</f>
        <v>3257.81731108783</v>
      </c>
      <c r="M34" s="25" t="n">
        <f aca="false">IF(A34&gt;=Допущения!$C$38,Допущения!$C$73/Допущения!$C$42*MIN(Допущения!$C$42,A34-Допущения!$C$38+1),0)</f>
        <v>20</v>
      </c>
      <c r="N34" s="25" t="n">
        <f aca="false">N33*(1-Допущения!$C$45)+M34</f>
        <v>358.742069818098</v>
      </c>
      <c r="O34" s="25" t="n">
        <f aca="false">L34+N34</f>
        <v>3616.55938090593</v>
      </c>
      <c r="P34" s="25" t="n">
        <f aca="false">L34*Допущения!$C$25</f>
        <v>488.672596663175</v>
      </c>
      <c r="Q34" s="25" t="n">
        <f aca="false">L34*(1-Допущения!$C$25)+N34</f>
        <v>3127.88678424275</v>
      </c>
      <c r="R34" s="17" t="n">
        <f aca="false">MAX(Допущения!$C$18,ROUNDUP(Q34/Допущения!$C$68+P34/Допущения!$C$69,0))</f>
        <v>45</v>
      </c>
      <c r="S34" s="17" t="n">
        <f aca="false">ROUNDUP(R34/Допущения!$C$48,0)</f>
        <v>4</v>
      </c>
      <c r="T34" s="17" t="n">
        <f aca="false">L34*F34/(1+Допущения!$C$6)</f>
        <v>8338655.38740862</v>
      </c>
      <c r="U34" s="17" t="n">
        <f aca="false">N34*Допущения!$C$28*E34/(1+Допущения!$C$6)</f>
        <v>669951.109436175</v>
      </c>
      <c r="V34" s="17" t="n">
        <f aca="false">O34*Допущения!$C$26*Допущения!$C$27/(1+Допущения!$C$6)</f>
        <v>444658.940275319</v>
      </c>
      <c r="W34" s="17" t="n">
        <f aca="false">T34+U34+V34</f>
        <v>9453265.43712011</v>
      </c>
      <c r="X34" s="17" t="n">
        <f aca="false">J34*Допущения!$C$37</f>
        <v>10000</v>
      </c>
      <c r="Y34" s="17" t="n">
        <f aca="false">(R34*Допущения!$C$47+S34*Допущения!$C$49)*D34*Допущения!$C$9</f>
        <v>6135357.312</v>
      </c>
      <c r="Z34" s="17" t="n">
        <f aca="false">(MAX(0,R34-R33)+R34*Допущения!$C$50/12)*Допущения!$C$51*D34</f>
        <v>255150</v>
      </c>
      <c r="AA34" s="17" t="n">
        <f aca="false">O34*(Допущения!$C$53+Допущения!$C$54)+(L34*F34+N34*Допущения!$C$28*E34)*Допущения!$C$13</f>
        <v>1517873.17270138</v>
      </c>
      <c r="AB34" s="17" t="n">
        <f aca="false">(R34+S34)*Допущения!$C$52</f>
        <v>132300</v>
      </c>
      <c r="AC34" s="17" t="n">
        <f aca="false">SUMPRODUCT(Допущения!$B$84:$B$91,Допущения!$C$84:$C$91,--(Допущения!$D$84:$D$91&lt;=A34))*D34*Допущения!$C$9</f>
        <v>2293165.728</v>
      </c>
      <c r="AD34" s="17" t="n">
        <f aca="false">(AC34+Y34)*Допущения!$C$14</f>
        <v>842852.304</v>
      </c>
      <c r="AE34" s="17" t="n">
        <f aca="false">Допущения!$C$55+Допущения!$C$56*O34/1000+Допущения!$C$57</f>
        <v>168932.475047247</v>
      </c>
      <c r="AF34" s="17" t="n">
        <f aca="false">SUMIF(Допущения!$B$95:$B$103,A34,Допущения!$C$95:$C$103)</f>
        <v>0</v>
      </c>
      <c r="AG34" s="17" t="n">
        <v>0</v>
      </c>
      <c r="AH34" s="17" t="n">
        <f aca="false">G34+SUM(X34:AG34)</f>
        <v>13855630.9917486</v>
      </c>
      <c r="AI34" s="17" t="n">
        <f aca="false">W34-AH34</f>
        <v>-4402365.55462851</v>
      </c>
      <c r="AJ34" s="17" t="n">
        <f aca="false">AJ33+AI34</f>
        <v>-94463264.3951191</v>
      </c>
      <c r="AK34" s="17" t="n">
        <f aca="false">O34*Допущения!$C$58*Допущения!$C$59</f>
        <v>59673.2297849478</v>
      </c>
      <c r="AL34" s="17" t="n">
        <f aca="false">T34*Допущения!$C$72</f>
        <v>420436.40608783</v>
      </c>
      <c r="AM34" s="17" t="n">
        <f aca="false">IF(MOD(A34,12)=0,INDEX($F$70:$F$74,B34),0)</f>
        <v>0</v>
      </c>
      <c r="AN34" s="17" t="n">
        <f aca="false">AI34-AM34</f>
        <v>-4402365.55462851</v>
      </c>
      <c r="AO34" s="26" t="n">
        <f aca="false">1/(1+Допущения!$C$74)^A34</f>
        <v>0.618439294224469</v>
      </c>
      <c r="AP34" s="21" t="str">
        <f aca="false">IF(AND(A34&gt;Допущения!$C$19,MIN(AI34:AI$65)&gt;0),A34,"")</f>
        <v/>
      </c>
      <c r="AQ34" s="21" t="str">
        <f aca="false">IF(MIN(AJ34:AJ$65)&gt;0,A34,"")</f>
        <v/>
      </c>
    </row>
    <row r="35" customFormat="false" ht="15" hidden="false" customHeight="false" outlineLevel="0" collapsed="false">
      <c r="A35" s="28" t="n">
        <v>30</v>
      </c>
      <c r="B35" s="28" t="n">
        <f aca="false">INT((A35-1)/12)+1</f>
        <v>3</v>
      </c>
      <c r="C35" s="12" t="s">
        <v>462</v>
      </c>
      <c r="D35" s="15" t="n">
        <f aca="false">(1+Допущения!$C$11)^(B35-1)</f>
        <v>1.1664</v>
      </c>
      <c r="E35" s="15" t="n">
        <f aca="false">(1+Допущения!$C$12)^(B35-1)</f>
        <v>1.1449</v>
      </c>
      <c r="F35" s="17" t="n">
        <f aca="false">Допущения!$C$71*E35</f>
        <v>3122.691852</v>
      </c>
      <c r="G35" s="17" t="n">
        <f aca="false">MIN(G34*(1+Допущения!$C$33),Допущения!$C$34)</f>
        <v>2500000</v>
      </c>
      <c r="H35" s="25" t="n">
        <f aca="false">MIN(Допущения!$C$30,G35/Допущения!$C$29)</f>
        <v>200</v>
      </c>
      <c r="I35" s="25" t="n">
        <f aca="false">MAX(0,G35-H35*Допущения!$C$29)/Допущения!$C$31</f>
        <v>293.333333333333</v>
      </c>
      <c r="J35" s="25" t="n">
        <f aca="false">IF(A35&gt;=Допущения!$C$35,Допущения!$C$36,0)</f>
        <v>20</v>
      </c>
      <c r="K35" s="25" t="n">
        <f aca="false">H35+I35+J35</f>
        <v>513.333333333333</v>
      </c>
      <c r="L35" s="25" t="n">
        <f aca="false">(L34-K34)*(1-Допущения!$C$44)+K34*(1-Допущения!$C$43)+K35</f>
        <v>3371.92525953414</v>
      </c>
      <c r="M35" s="25" t="n">
        <f aca="false">IF(A35&gt;=Допущения!$C$38,Допущения!$C$73/Допущения!$C$42*MIN(Допущения!$C$42,A35-Допущения!$C$38+1),0)</f>
        <v>20</v>
      </c>
      <c r="N35" s="25" t="n">
        <f aca="false">N34*(1-Допущения!$C$45)+M35</f>
        <v>371.567228421736</v>
      </c>
      <c r="O35" s="25" t="n">
        <f aca="false">L35+N35</f>
        <v>3743.49248795587</v>
      </c>
      <c r="P35" s="25" t="n">
        <f aca="false">L35*Допущения!$C$25</f>
        <v>505.788788930121</v>
      </c>
      <c r="Q35" s="25" t="n">
        <f aca="false">L35*(1-Допущения!$C$25)+N35</f>
        <v>3237.70369902575</v>
      </c>
      <c r="R35" s="17" t="n">
        <f aca="false">MAX(Допущения!$C$18,ROUNDUP(Q35/Допущения!$C$68+P35/Допущения!$C$69,0))</f>
        <v>46</v>
      </c>
      <c r="S35" s="17" t="n">
        <f aca="false">ROUNDUP(R35/Допущения!$C$48,0)</f>
        <v>4</v>
      </c>
      <c r="T35" s="17" t="n">
        <f aca="false">L35*F35/(1+Допущения!$C$6)</f>
        <v>8630724.20778708</v>
      </c>
      <c r="U35" s="17" t="n">
        <f aca="false">N35*Допущения!$C$28*E35/(1+Допущения!$C$6)</f>
        <v>693902.103640894</v>
      </c>
      <c r="V35" s="17" t="n">
        <f aca="false">O35*Допущения!$C$26*Допущения!$C$27/(1+Допущения!$C$6)</f>
        <v>460265.46983064</v>
      </c>
      <c r="W35" s="17" t="n">
        <f aca="false">T35+U35+V35</f>
        <v>9784891.78125861</v>
      </c>
      <c r="X35" s="17" t="n">
        <f aca="false">J35*Допущения!$C$37</f>
        <v>10000</v>
      </c>
      <c r="Y35" s="17" t="n">
        <f aca="false">(R35*Допущения!$C$47+S35*Допущения!$C$49)*D35*Допущения!$C$9</f>
        <v>6256849.536</v>
      </c>
      <c r="Z35" s="17" t="n">
        <f aca="false">(MAX(0,R35-R34)+R35*Допущения!$C$50/12)*Допущения!$C$51*D35</f>
        <v>175543.2</v>
      </c>
      <c r="AA35" s="17" t="n">
        <f aca="false">O35*(Допущения!$C$53+Допущения!$C$54)+(L35*F35+N35*Допущения!$C$28*E35)*Допущения!$C$13</f>
        <v>1571143.55190285</v>
      </c>
      <c r="AB35" s="17" t="n">
        <f aca="false">(R35+S35)*Допущения!$C$52</f>
        <v>135000</v>
      </c>
      <c r="AC35" s="17" t="n">
        <f aca="false">SUMPRODUCT(Допущения!$B$84:$B$91,Допущения!$C$84:$C$91,--(Допущения!$D$84:$D$91&lt;=A35))*D35*Допущения!$C$9</f>
        <v>2293165.728</v>
      </c>
      <c r="AD35" s="17" t="n">
        <f aca="false">(AC35+Y35)*Допущения!$C$14</f>
        <v>855001.5264</v>
      </c>
      <c r="AE35" s="17" t="n">
        <f aca="false">Допущения!$C$55+Допущения!$C$56*O35/1000+Допущения!$C$57</f>
        <v>169947.939903647</v>
      </c>
      <c r="AF35" s="17" t="n">
        <f aca="false">SUMIF(Допущения!$B$95:$B$103,A35,Допущения!$C$95:$C$103)</f>
        <v>0</v>
      </c>
      <c r="AG35" s="17" t="n">
        <v>0</v>
      </c>
      <c r="AH35" s="17" t="n">
        <f aca="false">G35+SUM(X35:AG35)</f>
        <v>13966651.4822065</v>
      </c>
      <c r="AI35" s="17" t="n">
        <f aca="false">W35-AH35</f>
        <v>-4181759.70094789</v>
      </c>
      <c r="AJ35" s="17" t="n">
        <f aca="false">AJ34+AI35</f>
        <v>-98645024.096067</v>
      </c>
      <c r="AK35" s="17" t="n">
        <f aca="false">O35*Допущения!$C$58*Допущения!$C$59</f>
        <v>61767.6260512719</v>
      </c>
      <c r="AL35" s="17" t="n">
        <f aca="false">T35*Допущения!$C$72</f>
        <v>435162.565098508</v>
      </c>
      <c r="AM35" s="17" t="n">
        <f aca="false">IF(MOD(A35,12)=0,INDEX($F$70:$F$74,B35),0)</f>
        <v>0</v>
      </c>
      <c r="AN35" s="17" t="n">
        <f aca="false">AI35-AM35</f>
        <v>-4181759.70094789</v>
      </c>
      <c r="AO35" s="26" t="n">
        <f aca="false">1/(1+Допущения!$C$74)^A35</f>
        <v>0.608275638554951</v>
      </c>
      <c r="AP35" s="21" t="str">
        <f aca="false">IF(AND(A35&gt;Допущения!$C$19,MIN(AI35:AI$65)&gt;0),A35,"")</f>
        <v/>
      </c>
      <c r="AQ35" s="21" t="str">
        <f aca="false">IF(MIN(AJ35:AJ$65)&gt;0,A35,"")</f>
        <v/>
      </c>
    </row>
    <row r="36" customFormat="false" ht="15" hidden="false" customHeight="false" outlineLevel="0" collapsed="false">
      <c r="A36" s="28" t="n">
        <v>31</v>
      </c>
      <c r="B36" s="28" t="n">
        <f aca="false">INT((A36-1)/12)+1</f>
        <v>3</v>
      </c>
      <c r="C36" s="12" t="s">
        <v>462</v>
      </c>
      <c r="D36" s="15" t="n">
        <f aca="false">(1+Допущения!$C$11)^(B36-1)</f>
        <v>1.1664</v>
      </c>
      <c r="E36" s="15" t="n">
        <f aca="false">(1+Допущения!$C$12)^(B36-1)</f>
        <v>1.1449</v>
      </c>
      <c r="F36" s="17" t="n">
        <f aca="false">Допущения!$C$71*E36</f>
        <v>3122.691852</v>
      </c>
      <c r="G36" s="17" t="n">
        <f aca="false">MIN(G35*(1+Допущения!$C$33),Допущения!$C$34)</f>
        <v>2500000</v>
      </c>
      <c r="H36" s="25" t="n">
        <f aca="false">MIN(Допущения!$C$30,G36/Допущения!$C$29)</f>
        <v>200</v>
      </c>
      <c r="I36" s="25" t="n">
        <f aca="false">MAX(0,G36-H36*Допущения!$C$29)/Допущения!$C$31</f>
        <v>293.333333333333</v>
      </c>
      <c r="J36" s="25" t="n">
        <f aca="false">IF(A36&gt;=Допущения!$C$35,Допущения!$C$36,0)</f>
        <v>20</v>
      </c>
      <c r="K36" s="25" t="n">
        <f aca="false">H36+I36+J36</f>
        <v>513.333333333333</v>
      </c>
      <c r="L36" s="25" t="n">
        <f aca="false">(L35-K35)*(1-Допущения!$C$44)+K35*(1-Допущения!$C$43)+K36</f>
        <v>3476.90457210474</v>
      </c>
      <c r="M36" s="25" t="n">
        <f aca="false">IF(A36&gt;=Допущения!$C$38,Допущения!$C$73/Допущения!$C$42*MIN(Допущения!$C$42,A36-Допущения!$C$38+1),0)</f>
        <v>20</v>
      </c>
      <c r="N36" s="25" t="n">
        <f aca="false">N35*(1-Допущения!$C$45)+M36</f>
        <v>384.135883853301</v>
      </c>
      <c r="O36" s="25" t="n">
        <f aca="false">L36+N36</f>
        <v>3861.04045595804</v>
      </c>
      <c r="P36" s="25" t="n">
        <f aca="false">L36*Допущения!$C$25</f>
        <v>521.535685815711</v>
      </c>
      <c r="Q36" s="25" t="n">
        <f aca="false">L36*(1-Допущения!$C$25)+N36</f>
        <v>3339.50477014233</v>
      </c>
      <c r="R36" s="17" t="n">
        <f aca="false">MAX(Допущения!$C$18,ROUNDUP(Q36/Допущения!$C$68+P36/Допущения!$C$69,0))</f>
        <v>48</v>
      </c>
      <c r="S36" s="17" t="n">
        <f aca="false">ROUNDUP(R36/Допущения!$C$48,0)</f>
        <v>4</v>
      </c>
      <c r="T36" s="17" t="n">
        <f aca="false">L36*F36/(1+Допущения!$C$6)</f>
        <v>8899427.52253526</v>
      </c>
      <c r="U36" s="17" t="n">
        <f aca="false">N36*Допущения!$C$28*E36/(1+Допущения!$C$6)</f>
        <v>717374.077961519</v>
      </c>
      <c r="V36" s="17" t="n">
        <f aca="false">O36*Допущения!$C$26*Допущения!$C$27/(1+Допущения!$C$6)</f>
        <v>474718.0888473</v>
      </c>
      <c r="W36" s="17" t="n">
        <f aca="false">T36+U36+V36</f>
        <v>10091519.6893441</v>
      </c>
      <c r="X36" s="17" t="n">
        <f aca="false">J36*Допущения!$C$37</f>
        <v>10000</v>
      </c>
      <c r="Y36" s="17" t="n">
        <f aca="false">(R36*Допущения!$C$47+S36*Допущения!$C$49)*D36*Допущения!$C$9</f>
        <v>6499833.984</v>
      </c>
      <c r="Z36" s="17" t="n">
        <f aca="false">(MAX(0,R36-R35)+R36*Допущения!$C$50/12)*Допущения!$C$51*D36</f>
        <v>261273.6</v>
      </c>
      <c r="AA36" s="17" t="n">
        <f aca="false">O36*(Допущения!$C$53+Допущения!$C$54)+(L36*F36+N36*Допущения!$C$28*E36)*Допущения!$C$13</f>
        <v>1620464.72957159</v>
      </c>
      <c r="AB36" s="17" t="n">
        <f aca="false">(R36+S36)*Допущения!$C$52</f>
        <v>140400</v>
      </c>
      <c r="AC36" s="17" t="n">
        <f aca="false">SUMPRODUCT(Допущения!$B$84:$B$91,Допущения!$C$84:$C$91,--(Допущения!$D$84:$D$91&lt;=A36))*D36*Допущения!$C$9</f>
        <v>2293165.728</v>
      </c>
      <c r="AD36" s="17" t="n">
        <f aca="false">(AC36+Y36)*Допущения!$C$14</f>
        <v>879299.9712</v>
      </c>
      <c r="AE36" s="17" t="n">
        <f aca="false">Допущения!$C$55+Допущения!$C$56*O36/1000+Допущения!$C$57</f>
        <v>170888.323647664</v>
      </c>
      <c r="AF36" s="17" t="n">
        <f aca="false">SUMIF(Допущения!$B$95:$B$103,A36,Допущения!$C$95:$C$103)</f>
        <v>0</v>
      </c>
      <c r="AG36" s="17" t="n">
        <v>0</v>
      </c>
      <c r="AH36" s="17" t="n">
        <f aca="false">G36+SUM(X36:AG36)</f>
        <v>14375326.3364193</v>
      </c>
      <c r="AI36" s="17" t="n">
        <f aca="false">W36-AH36</f>
        <v>-4283806.64707518</v>
      </c>
      <c r="AJ36" s="17" t="n">
        <f aca="false">AJ35+AI36</f>
        <v>-102928830.743142</v>
      </c>
      <c r="AK36" s="17" t="n">
        <f aca="false">O36*Допущения!$C$58*Допущения!$C$59</f>
        <v>63707.1675233077</v>
      </c>
      <c r="AL36" s="17" t="n">
        <f aca="false">T36*Допущения!$C$72</f>
        <v>448710.631388333</v>
      </c>
      <c r="AM36" s="17" t="n">
        <f aca="false">IF(MOD(A36,12)=0,INDEX($F$70:$F$74,B36),0)</f>
        <v>0</v>
      </c>
      <c r="AN36" s="17" t="n">
        <f aca="false">AI36-AM36</f>
        <v>-4283806.64707518</v>
      </c>
      <c r="AO36" s="26" t="n">
        <f aca="false">1/(1+Допущения!$C$74)^A36</f>
        <v>0.598279016089068</v>
      </c>
      <c r="AP36" s="21" t="str">
        <f aca="false">IF(AND(A36&gt;Допущения!$C$19,MIN(AI36:AI$65)&gt;0),A36,"")</f>
        <v/>
      </c>
      <c r="AQ36" s="21" t="str">
        <f aca="false">IF(MIN(AJ36:AJ$65)&gt;0,A36,"")</f>
        <v/>
      </c>
    </row>
    <row r="37" customFormat="false" ht="15" hidden="false" customHeight="false" outlineLevel="0" collapsed="false">
      <c r="A37" s="28" t="n">
        <v>32</v>
      </c>
      <c r="B37" s="28" t="n">
        <f aca="false">INT((A37-1)/12)+1</f>
        <v>3</v>
      </c>
      <c r="C37" s="12" t="s">
        <v>462</v>
      </c>
      <c r="D37" s="15" t="n">
        <f aca="false">(1+Допущения!$C$11)^(B37-1)</f>
        <v>1.1664</v>
      </c>
      <c r="E37" s="15" t="n">
        <f aca="false">(1+Допущения!$C$12)^(B37-1)</f>
        <v>1.1449</v>
      </c>
      <c r="F37" s="17" t="n">
        <f aca="false">Допущения!$C$71*E37</f>
        <v>3122.691852</v>
      </c>
      <c r="G37" s="17" t="n">
        <f aca="false">MIN(G36*(1+Допущения!$C$33),Допущения!$C$34)</f>
        <v>2500000</v>
      </c>
      <c r="H37" s="25" t="n">
        <f aca="false">MIN(Допущения!$C$30,G37/Допущения!$C$29)</f>
        <v>200</v>
      </c>
      <c r="I37" s="25" t="n">
        <f aca="false">MAX(0,G37-H37*Допущения!$C$29)/Допущения!$C$31</f>
        <v>293.333333333333</v>
      </c>
      <c r="J37" s="25" t="n">
        <f aca="false">IF(A37&gt;=Допущения!$C$35,Допущения!$C$36,0)</f>
        <v>20</v>
      </c>
      <c r="K37" s="25" t="n">
        <f aca="false">H37+I37+J37</f>
        <v>513.333333333333</v>
      </c>
      <c r="L37" s="25" t="n">
        <f aca="false">(L36-K36)*(1-Допущения!$C$44)+K36*(1-Допущения!$C$43)+K37</f>
        <v>3573.4855396697</v>
      </c>
      <c r="M37" s="25" t="n">
        <f aca="false">IF(A37&gt;=Допущения!$C$38,Допущения!$C$73/Допущения!$C$42*MIN(Допущения!$C$42,A37-Допущения!$C$38+1),0)</f>
        <v>20</v>
      </c>
      <c r="N37" s="25" t="n">
        <f aca="false">N36*(1-Допущения!$C$45)+M37</f>
        <v>396.453166176235</v>
      </c>
      <c r="O37" s="25" t="n">
        <f aca="false">L37+N37</f>
        <v>3969.93870584593</v>
      </c>
      <c r="P37" s="25" t="n">
        <f aca="false">L37*Допущения!$C$25</f>
        <v>536.022830950454</v>
      </c>
      <c r="Q37" s="25" t="n">
        <f aca="false">L37*(1-Допущения!$C$25)+N37</f>
        <v>3433.91587489548</v>
      </c>
      <c r="R37" s="17" t="n">
        <f aca="false">MAX(Допущения!$C$18,ROUNDUP(Q37/Допущения!$C$68+P37/Допущения!$C$69,0))</f>
        <v>49</v>
      </c>
      <c r="S37" s="17" t="n">
        <f aca="false">ROUNDUP(R37/Допущения!$C$48,0)</f>
        <v>5</v>
      </c>
      <c r="T37" s="17" t="n">
        <f aca="false">L37*F37/(1+Допущения!$C$6)</f>
        <v>9146634.57210359</v>
      </c>
      <c r="U37" s="17" t="n">
        <f aca="false">N37*Допущения!$C$28*E37/(1+Допущения!$C$6)</f>
        <v>740376.612795731</v>
      </c>
      <c r="V37" s="17" t="n">
        <f aca="false">O37*Допущения!$C$26*Допущения!$C$27/(1+Допущения!$C$6)</f>
        <v>488107.217931877</v>
      </c>
      <c r="W37" s="17" t="n">
        <f aca="false">T37+U37+V37</f>
        <v>10375118.4028312</v>
      </c>
      <c r="X37" s="17" t="n">
        <f aca="false">J37*Допущения!$C$37</f>
        <v>10000</v>
      </c>
      <c r="Y37" s="17" t="n">
        <f aca="false">(R37*Допущения!$C$47+S37*Допущения!$C$49)*D37*Допущения!$C$9</f>
        <v>6788378.016</v>
      </c>
      <c r="Z37" s="17" t="n">
        <f aca="false">(MAX(0,R37-R36)+R37*Допущения!$C$50/12)*Допущения!$C$51*D37</f>
        <v>181666.8</v>
      </c>
      <c r="AA37" s="17" t="n">
        <f aca="false">O37*(Допущения!$C$53+Допущения!$C$54)+(L37*F37+N37*Допущения!$C$28*E37)*Допущения!$C$13</f>
        <v>1666146.39325415</v>
      </c>
      <c r="AB37" s="17" t="n">
        <f aca="false">(R37+S37)*Допущения!$C$52</f>
        <v>145800</v>
      </c>
      <c r="AC37" s="17" t="n">
        <f aca="false">SUMPRODUCT(Допущения!$B$84:$B$91,Допущения!$C$84:$C$91,--(Допущения!$D$84:$D$91&lt;=A37))*D37*Допущения!$C$9</f>
        <v>2293165.728</v>
      </c>
      <c r="AD37" s="17" t="n">
        <f aca="false">(AC37+Y37)*Допущения!$C$14</f>
        <v>908154.3744</v>
      </c>
      <c r="AE37" s="17" t="n">
        <f aca="false">Допущения!$C$55+Допущения!$C$56*O37/1000+Допущения!$C$57</f>
        <v>171759.509646767</v>
      </c>
      <c r="AF37" s="17" t="n">
        <f aca="false">SUMIF(Допущения!$B$95:$B$103,A37,Допущения!$C$95:$C$103)</f>
        <v>0</v>
      </c>
      <c r="AG37" s="17" t="n">
        <v>0</v>
      </c>
      <c r="AH37" s="17" t="n">
        <f aca="false">G37+SUM(X37:AG37)</f>
        <v>14665070.8213009</v>
      </c>
      <c r="AI37" s="17" t="n">
        <f aca="false">W37-AH37</f>
        <v>-4289952.41846973</v>
      </c>
      <c r="AJ37" s="17" t="n">
        <f aca="false">AJ36+AI37</f>
        <v>-107218783.161612</v>
      </c>
      <c r="AK37" s="17" t="n">
        <f aca="false">O37*Допущения!$C$58*Допущения!$C$59</f>
        <v>65503.9886464578</v>
      </c>
      <c r="AL37" s="17" t="n">
        <f aca="false">T37*Допущения!$C$72</f>
        <v>461174.852374971</v>
      </c>
      <c r="AM37" s="17" t="n">
        <f aca="false">IF(MOD(A37,12)=0,INDEX($F$70:$F$74,B37),0)</f>
        <v>0</v>
      </c>
      <c r="AN37" s="17" t="n">
        <f aca="false">AI37-AM37</f>
        <v>-4289952.41846973</v>
      </c>
      <c r="AO37" s="26" t="n">
        <f aca="false">1/(1+Допущения!$C$74)^A37</f>
        <v>0.588446681742569</v>
      </c>
      <c r="AP37" s="21" t="str">
        <f aca="false">IF(AND(A37&gt;Допущения!$C$19,MIN(AI37:AI$65)&gt;0),A37,"")</f>
        <v/>
      </c>
      <c r="AQ37" s="21" t="str">
        <f aca="false">IF(MIN(AJ37:AJ$65)&gt;0,A37,"")</f>
        <v/>
      </c>
    </row>
    <row r="38" customFormat="false" ht="15" hidden="false" customHeight="false" outlineLevel="0" collapsed="false">
      <c r="A38" s="28" t="n">
        <v>33</v>
      </c>
      <c r="B38" s="28" t="n">
        <f aca="false">INT((A38-1)/12)+1</f>
        <v>3</v>
      </c>
      <c r="C38" s="12" t="s">
        <v>462</v>
      </c>
      <c r="D38" s="15" t="n">
        <f aca="false">(1+Допущения!$C$11)^(B38-1)</f>
        <v>1.1664</v>
      </c>
      <c r="E38" s="15" t="n">
        <f aca="false">(1+Допущения!$C$12)^(B38-1)</f>
        <v>1.1449</v>
      </c>
      <c r="F38" s="17" t="n">
        <f aca="false">Допущения!$C$71*E38</f>
        <v>3122.691852</v>
      </c>
      <c r="G38" s="17" t="n">
        <f aca="false">MIN(G37*(1+Допущения!$C$33),Допущения!$C$34)</f>
        <v>2500000</v>
      </c>
      <c r="H38" s="25" t="n">
        <f aca="false">MIN(Допущения!$C$30,G38/Допущения!$C$29)</f>
        <v>200</v>
      </c>
      <c r="I38" s="25" t="n">
        <f aca="false">MAX(0,G38-H38*Допущения!$C$29)/Допущения!$C$31</f>
        <v>293.333333333333</v>
      </c>
      <c r="J38" s="25" t="n">
        <f aca="false">IF(A38&gt;=Допущения!$C$35,Допущения!$C$36,0)</f>
        <v>20</v>
      </c>
      <c r="K38" s="25" t="n">
        <f aca="false">H38+I38+J38</f>
        <v>513.333333333333</v>
      </c>
      <c r="L38" s="25" t="n">
        <f aca="false">(L37-K37)*(1-Допущения!$C$44)+K37*(1-Допущения!$C$43)+K38</f>
        <v>3662.34002982945</v>
      </c>
      <c r="M38" s="25" t="n">
        <f aca="false">IF(A38&gt;=Допущения!$C$38,Допущения!$C$73/Допущения!$C$42*MIN(Допущения!$C$42,A38-Допущения!$C$38+1),0)</f>
        <v>20</v>
      </c>
      <c r="N38" s="25" t="n">
        <f aca="false">N37*(1-Допущения!$C$45)+M38</f>
        <v>408.52410285271</v>
      </c>
      <c r="O38" s="25" t="n">
        <f aca="false">L38+N38</f>
        <v>4070.86413268216</v>
      </c>
      <c r="P38" s="25" t="n">
        <f aca="false">L38*Допущения!$C$25</f>
        <v>549.351004474418</v>
      </c>
      <c r="Q38" s="25" t="n">
        <f aca="false">L38*(1-Допущения!$C$25)+N38</f>
        <v>3521.51312820775</v>
      </c>
      <c r="R38" s="17" t="n">
        <f aca="false">MAX(Допущения!$C$18,ROUNDUP(Q38/Допущения!$C$68+P38/Допущения!$C$69,0))</f>
        <v>50</v>
      </c>
      <c r="S38" s="17" t="n">
        <f aca="false">ROUNDUP(R38/Допущения!$C$48,0)</f>
        <v>5</v>
      </c>
      <c r="T38" s="17" t="n">
        <f aca="false">L38*F38/(1+Допущения!$C$6)</f>
        <v>9374065.05770645</v>
      </c>
      <c r="U38" s="17" t="n">
        <f aca="false">N38*Допущения!$C$28*E38/(1+Допущения!$C$6)</f>
        <v>762919.096933259</v>
      </c>
      <c r="V38" s="17" t="n">
        <f aca="false">O38*Допущения!$C$26*Допущения!$C$27/(1+Допущения!$C$6)</f>
        <v>500516.081887151</v>
      </c>
      <c r="W38" s="17" t="n">
        <f aca="false">T38+U38+V38</f>
        <v>10637500.2365269</v>
      </c>
      <c r="X38" s="17" t="n">
        <f aca="false">J38*Допущения!$C$37</f>
        <v>10000</v>
      </c>
      <c r="Y38" s="17" t="n">
        <f aca="false">(R38*Допущения!$C$47+S38*Допущения!$C$49)*D38*Допущения!$C$9</f>
        <v>6909870.24</v>
      </c>
      <c r="Z38" s="17" t="n">
        <f aca="false">(MAX(0,R38-R37)+R38*Допущения!$C$50/12)*Допущения!$C$51*D38</f>
        <v>183708</v>
      </c>
      <c r="AA38" s="17" t="n">
        <f aca="false">O38*(Допущения!$C$53+Допущения!$C$54)+(L38*F38+N38*Допущения!$C$28*E38)*Допущения!$C$13</f>
        <v>1708473.58046488</v>
      </c>
      <c r="AB38" s="17" t="n">
        <f aca="false">(R38+S38)*Допущения!$C$52</f>
        <v>148500</v>
      </c>
      <c r="AC38" s="17" t="n">
        <f aca="false">SUMPRODUCT(Допущения!$B$84:$B$91,Допущения!$C$84:$C$91,--(Допущения!$D$84:$D$91&lt;=A38))*D38*Допущения!$C$9</f>
        <v>2293165.728</v>
      </c>
      <c r="AD38" s="17" t="n">
        <f aca="false">(AC38+Y38)*Допущения!$C$14</f>
        <v>920303.5968</v>
      </c>
      <c r="AE38" s="17" t="n">
        <f aca="false">Допущения!$C$55+Допущения!$C$56*O38/1000+Допущения!$C$57</f>
        <v>172566.913061457</v>
      </c>
      <c r="AF38" s="17" t="n">
        <f aca="false">SUMIF(Допущения!$B$95:$B$103,A38,Допущения!$C$95:$C$103)</f>
        <v>0</v>
      </c>
      <c r="AG38" s="17" t="n">
        <v>0</v>
      </c>
      <c r="AH38" s="17" t="n">
        <f aca="false">G38+SUM(X38:AG38)</f>
        <v>14846588.0583263</v>
      </c>
      <c r="AI38" s="17" t="n">
        <f aca="false">W38-AH38</f>
        <v>-4209087.82179948</v>
      </c>
      <c r="AJ38" s="17" t="n">
        <f aca="false">AJ37+AI38</f>
        <v>-111427870.983411</v>
      </c>
      <c r="AK38" s="17" t="n">
        <f aca="false">O38*Допущения!$C$58*Допущения!$C$59</f>
        <v>67169.2581892557</v>
      </c>
      <c r="AL38" s="17" t="n">
        <f aca="false">T38*Допущения!$C$72</f>
        <v>472641.935682678</v>
      </c>
      <c r="AM38" s="17" t="n">
        <f aca="false">IF(MOD(A38,12)=0,INDEX($F$70:$F$74,B38),0)</f>
        <v>0</v>
      </c>
      <c r="AN38" s="17" t="n">
        <f aca="false">AI38-AM38</f>
        <v>-4209087.82179948</v>
      </c>
      <c r="AO38" s="26" t="n">
        <f aca="false">1/(1+Допущения!$C$74)^A38</f>
        <v>0.578775935544913</v>
      </c>
      <c r="AP38" s="21" t="str">
        <f aca="false">IF(AND(A38&gt;Допущения!$C$19,MIN(AI38:AI$65)&gt;0),A38,"")</f>
        <v/>
      </c>
      <c r="AQ38" s="21" t="str">
        <f aca="false">IF(MIN(AJ38:AJ$65)&gt;0,A38,"")</f>
        <v/>
      </c>
    </row>
    <row r="39" customFormat="false" ht="15" hidden="false" customHeight="false" outlineLevel="0" collapsed="false">
      <c r="A39" s="28" t="n">
        <v>34</v>
      </c>
      <c r="B39" s="28" t="n">
        <f aca="false">INT((A39-1)/12)+1</f>
        <v>3</v>
      </c>
      <c r="C39" s="12" t="s">
        <v>462</v>
      </c>
      <c r="D39" s="15" t="n">
        <f aca="false">(1+Допущения!$C$11)^(B39-1)</f>
        <v>1.1664</v>
      </c>
      <c r="E39" s="15" t="n">
        <f aca="false">(1+Допущения!$C$12)^(B39-1)</f>
        <v>1.1449</v>
      </c>
      <c r="F39" s="17" t="n">
        <f aca="false">Допущения!$C$71*E39</f>
        <v>3122.691852</v>
      </c>
      <c r="G39" s="17" t="n">
        <f aca="false">MIN(G38*(1+Допущения!$C$33),Допущения!$C$34)</f>
        <v>2500000</v>
      </c>
      <c r="H39" s="25" t="n">
        <f aca="false">MIN(Допущения!$C$30,G39/Допущения!$C$29)</f>
        <v>200</v>
      </c>
      <c r="I39" s="25" t="n">
        <f aca="false">MAX(0,G39-H39*Допущения!$C$29)/Допущения!$C$31</f>
        <v>293.333333333333</v>
      </c>
      <c r="J39" s="25" t="n">
        <f aca="false">IF(A39&gt;=Допущения!$C$35,Допущения!$C$36,0)</f>
        <v>20</v>
      </c>
      <c r="K39" s="25" t="n">
        <f aca="false">H39+I39+J39</f>
        <v>513.333333333333</v>
      </c>
      <c r="L39" s="25" t="n">
        <f aca="false">(L38-K38)*(1-Допущения!$C$44)+K38*(1-Допущения!$C$43)+K39</f>
        <v>3744.08616077643</v>
      </c>
      <c r="M39" s="25" t="n">
        <f aca="false">IF(A39&gt;=Допущения!$C$38,Допущения!$C$73/Допущения!$C$42*MIN(Допущения!$C$42,A39-Допущения!$C$38+1),0)</f>
        <v>20</v>
      </c>
      <c r="N39" s="25" t="n">
        <f aca="false">N38*(1-Допущения!$C$45)+M39</f>
        <v>420.353620795656</v>
      </c>
      <c r="O39" s="25" t="n">
        <f aca="false">L39+N39</f>
        <v>4164.43978157209</v>
      </c>
      <c r="P39" s="25" t="n">
        <f aca="false">L39*Допущения!$C$25</f>
        <v>561.612924116465</v>
      </c>
      <c r="Q39" s="25" t="n">
        <f aca="false">L39*(1-Допущения!$C$25)+N39</f>
        <v>3602.82685745562</v>
      </c>
      <c r="R39" s="17" t="n">
        <f aca="false">MAX(Допущения!$C$18,ROUNDUP(Q39/Допущения!$C$68+P39/Допущения!$C$69,0))</f>
        <v>51</v>
      </c>
      <c r="S39" s="17" t="n">
        <f aca="false">ROUNDUP(R39/Допущения!$C$48,0)</f>
        <v>5</v>
      </c>
      <c r="T39" s="17" t="n">
        <f aca="false">L39*F39/(1+Допущения!$C$6)</f>
        <v>9583301.10446108</v>
      </c>
      <c r="U39" s="17" t="n">
        <f aca="false">N39*Допущения!$C$28*E39/(1+Допущения!$C$6)</f>
        <v>785010.731388036</v>
      </c>
      <c r="V39" s="17" t="n">
        <f aca="false">O39*Допущения!$C$26*Допущения!$C$27/(1+Допущения!$C$6)</f>
        <v>512021.284619519</v>
      </c>
      <c r="W39" s="17" t="n">
        <f aca="false">T39+U39+V39</f>
        <v>10880333.1204686</v>
      </c>
      <c r="X39" s="17" t="n">
        <f aca="false">J39*Допущения!$C$37</f>
        <v>10000</v>
      </c>
      <c r="Y39" s="17" t="n">
        <f aca="false">(R39*Допущения!$C$47+S39*Допущения!$C$49)*D39*Допущения!$C$9</f>
        <v>7031362.464</v>
      </c>
      <c r="Z39" s="17" t="n">
        <f aca="false">(MAX(0,R39-R38)+R39*Допущения!$C$50/12)*Допущения!$C$51*D39</f>
        <v>185749.2</v>
      </c>
      <c r="AA39" s="17" t="n">
        <f aca="false">O39*(Допущения!$C$53+Допущения!$C$54)+(L39*F39+N39*Допущения!$C$28*E39)*Допущения!$C$13</f>
        <v>1747708.64818906</v>
      </c>
      <c r="AB39" s="17" t="n">
        <f aca="false">(R39+S39)*Допущения!$C$52</f>
        <v>151200</v>
      </c>
      <c r="AC39" s="17" t="n">
        <f aca="false">SUMPRODUCT(Допущения!$B$84:$B$91,Допущения!$C$84:$C$91,--(Допущения!$D$84:$D$91&lt;=A39))*D39*Допущения!$C$9</f>
        <v>2293165.728</v>
      </c>
      <c r="AD39" s="17" t="n">
        <f aca="false">(AC39+Y39)*Допущения!$C$14</f>
        <v>932452.8192</v>
      </c>
      <c r="AE39" s="17" t="n">
        <f aca="false">Допущения!$C$55+Допущения!$C$56*O39/1000+Допущения!$C$57</f>
        <v>173315.518252577</v>
      </c>
      <c r="AF39" s="17" t="n">
        <f aca="false">SUMIF(Допущения!$B$95:$B$103,A39,Допущения!$C$95:$C$103)</f>
        <v>0</v>
      </c>
      <c r="AG39" s="17" t="n">
        <v>0</v>
      </c>
      <c r="AH39" s="17" t="n">
        <f aca="false">G39+SUM(X39:AG39)</f>
        <v>15024954.3776416</v>
      </c>
      <c r="AI39" s="17" t="n">
        <f aca="false">W39-AH39</f>
        <v>-4144621.257173</v>
      </c>
      <c r="AJ39" s="17" t="n">
        <f aca="false">AJ38+AI39</f>
        <v>-115572492.240584</v>
      </c>
      <c r="AK39" s="17" t="n">
        <f aca="false">O39*Допущения!$C$58*Допущения!$C$59</f>
        <v>68713.2563959394</v>
      </c>
      <c r="AL39" s="17" t="n">
        <f aca="false">T39*Допущения!$C$72</f>
        <v>483191.652325769</v>
      </c>
      <c r="AM39" s="17" t="n">
        <f aca="false">IF(MOD(A39,12)=0,INDEX($F$70:$F$74,B39),0)</f>
        <v>0</v>
      </c>
      <c r="AN39" s="17" t="n">
        <f aca="false">AI39-AM39</f>
        <v>-4144621.257173</v>
      </c>
      <c r="AO39" s="26" t="n">
        <f aca="false">1/(1+Допущения!$C$74)^A39</f>
        <v>0.569264121897854</v>
      </c>
      <c r="AP39" s="21" t="str">
        <f aca="false">IF(AND(A39&gt;Допущения!$C$19,MIN(AI39:AI$65)&gt;0),A39,"")</f>
        <v/>
      </c>
      <c r="AQ39" s="21" t="str">
        <f aca="false">IF(MIN(AJ39:AJ$65)&gt;0,A39,"")</f>
        <v/>
      </c>
    </row>
    <row r="40" customFormat="false" ht="15" hidden="false" customHeight="false" outlineLevel="0" collapsed="false">
      <c r="A40" s="28" t="n">
        <v>35</v>
      </c>
      <c r="B40" s="28" t="n">
        <f aca="false">INT((A40-1)/12)+1</f>
        <v>3</v>
      </c>
      <c r="C40" s="12" t="s">
        <v>462</v>
      </c>
      <c r="D40" s="15" t="n">
        <f aca="false">(1+Допущения!$C$11)^(B40-1)</f>
        <v>1.1664</v>
      </c>
      <c r="E40" s="15" t="n">
        <f aca="false">(1+Допущения!$C$12)^(B40-1)</f>
        <v>1.1449</v>
      </c>
      <c r="F40" s="17" t="n">
        <f aca="false">Допущения!$C$71*E40</f>
        <v>3122.691852</v>
      </c>
      <c r="G40" s="17" t="n">
        <f aca="false">MIN(G39*(1+Допущения!$C$33),Допущения!$C$34)</f>
        <v>2500000</v>
      </c>
      <c r="H40" s="25" t="n">
        <f aca="false">MIN(Допущения!$C$30,G40/Допущения!$C$29)</f>
        <v>200</v>
      </c>
      <c r="I40" s="25" t="n">
        <f aca="false">MAX(0,G40-H40*Допущения!$C$29)/Допущения!$C$31</f>
        <v>293.333333333333</v>
      </c>
      <c r="J40" s="25" t="n">
        <f aca="false">IF(A40&gt;=Допущения!$C$35,Допущения!$C$36,0)</f>
        <v>20</v>
      </c>
      <c r="K40" s="25" t="n">
        <f aca="false">H40+I40+J40</f>
        <v>513.333333333333</v>
      </c>
      <c r="L40" s="25" t="n">
        <f aca="false">(L39-K39)*(1-Допущения!$C$44)+K39*(1-Допущения!$C$43)+K40</f>
        <v>3819.29260124765</v>
      </c>
      <c r="M40" s="25" t="n">
        <f aca="false">IF(A40&gt;=Допущения!$C$38,Допущения!$C$73/Допущения!$C$42*MIN(Допущения!$C$42,A40-Допущения!$C$38+1),0)</f>
        <v>20</v>
      </c>
      <c r="N40" s="25" t="n">
        <f aca="false">N39*(1-Допущения!$C$45)+M40</f>
        <v>431.946548379743</v>
      </c>
      <c r="O40" s="25" t="n">
        <f aca="false">L40+N40</f>
        <v>4251.23914962739</v>
      </c>
      <c r="P40" s="25" t="n">
        <f aca="false">L40*Допущения!$C$25</f>
        <v>572.893890187147</v>
      </c>
      <c r="Q40" s="25" t="n">
        <f aca="false">L40*(1-Допущения!$C$25)+N40</f>
        <v>3678.34525944024</v>
      </c>
      <c r="R40" s="17" t="n">
        <f aca="false">MAX(Допущения!$C$18,ROUNDUP(Q40/Допущения!$C$68+P40/Допущения!$C$69,0))</f>
        <v>52</v>
      </c>
      <c r="S40" s="17" t="n">
        <f aca="false">ROUNDUP(R40/Допущения!$C$48,0)</f>
        <v>5</v>
      </c>
      <c r="T40" s="17" t="n">
        <f aca="false">L40*F40/(1+Допущения!$C$6)</f>
        <v>9775798.26747534</v>
      </c>
      <c r="U40" s="17" t="n">
        <f aca="false">N40*Допущения!$C$28*E40/(1+Допущения!$C$6)</f>
        <v>806660.533153718</v>
      </c>
      <c r="V40" s="17" t="n">
        <f aca="false">O40*Допущения!$C$26*Допущения!$C$27/(1+Допущения!$C$6)</f>
        <v>522693.338068942</v>
      </c>
      <c r="W40" s="17" t="n">
        <f aca="false">T40+U40+V40</f>
        <v>11105152.138698</v>
      </c>
      <c r="X40" s="17" t="n">
        <f aca="false">J40*Допущения!$C$37</f>
        <v>10000</v>
      </c>
      <c r="Y40" s="17" t="n">
        <f aca="false">(R40*Допущения!$C$47+S40*Допущения!$C$49)*D40*Допущения!$C$9</f>
        <v>7152854.688</v>
      </c>
      <c r="Z40" s="17" t="n">
        <f aca="false">(MAX(0,R40-R39)+R40*Допущения!$C$50/12)*Допущения!$C$51*D40</f>
        <v>187790.4</v>
      </c>
      <c r="AA40" s="17" t="n">
        <f aca="false">O40*(Допущения!$C$53+Допущения!$C$54)+(L40*F40+N40*Допущения!$C$28*E40)*Допущения!$C$13</f>
        <v>1784093.08487581</v>
      </c>
      <c r="AB40" s="17" t="n">
        <f aca="false">(R40+S40)*Допущения!$C$52</f>
        <v>153900</v>
      </c>
      <c r="AC40" s="17" t="n">
        <f aca="false">SUMPRODUCT(Допущения!$B$84:$B$91,Допущения!$C$84:$C$91,--(Допущения!$D$84:$D$91&lt;=A40))*D40*Допущения!$C$9</f>
        <v>2293165.728</v>
      </c>
      <c r="AD40" s="17" t="n">
        <f aca="false">(AC40+Y40)*Допущения!$C$14</f>
        <v>944602.0416</v>
      </c>
      <c r="AE40" s="17" t="n">
        <f aca="false">Допущения!$C$55+Допущения!$C$56*O40/1000+Допущения!$C$57</f>
        <v>174009.913197019</v>
      </c>
      <c r="AF40" s="17" t="n">
        <f aca="false">SUMIF(Допущения!$B$95:$B$103,A40,Допущения!$C$95:$C$103)</f>
        <v>0</v>
      </c>
      <c r="AG40" s="17" t="n">
        <v>0</v>
      </c>
      <c r="AH40" s="17" t="n">
        <f aca="false">G40+SUM(X40:AG40)</f>
        <v>15200415.8556728</v>
      </c>
      <c r="AI40" s="17" t="n">
        <f aca="false">W40-AH40</f>
        <v>-4095263.71697483</v>
      </c>
      <c r="AJ40" s="17" t="n">
        <f aca="false">AJ39+AI40</f>
        <v>-119667755.957559</v>
      </c>
      <c r="AK40" s="17" t="n">
        <f aca="false">O40*Допущения!$C$58*Допущения!$C$59</f>
        <v>70145.445968852</v>
      </c>
      <c r="AL40" s="17" t="n">
        <f aca="false">T40*Допущения!$C$72</f>
        <v>492897.391637412</v>
      </c>
      <c r="AM40" s="17" t="n">
        <f aca="false">IF(MOD(A40,12)=0,INDEX($F$70:$F$74,B40),0)</f>
        <v>0</v>
      </c>
      <c r="AN40" s="17" t="n">
        <f aca="false">AI40-AM40</f>
        <v>-4095263.71697483</v>
      </c>
      <c r="AO40" s="26" t="n">
        <f aca="false">1/(1+Допущения!$C$74)^A40</f>
        <v>0.55990862884621</v>
      </c>
      <c r="AP40" s="21" t="str">
        <f aca="false">IF(AND(A40&gt;Допущения!$C$19,MIN(AI40:AI$65)&gt;0),A40,"")</f>
        <v/>
      </c>
      <c r="AQ40" s="21" t="str">
        <f aca="false">IF(MIN(AJ40:AJ$65)&gt;0,A40,"")</f>
        <v/>
      </c>
    </row>
    <row r="41" customFormat="false" ht="15" hidden="false" customHeight="false" outlineLevel="0" collapsed="false">
      <c r="A41" s="28" t="n">
        <v>36</v>
      </c>
      <c r="B41" s="28" t="n">
        <f aca="false">INT((A41-1)/12)+1</f>
        <v>3</v>
      </c>
      <c r="C41" s="12" t="s">
        <v>462</v>
      </c>
      <c r="D41" s="15" t="n">
        <f aca="false">(1+Допущения!$C$11)^(B41-1)</f>
        <v>1.1664</v>
      </c>
      <c r="E41" s="15" t="n">
        <f aca="false">(1+Допущения!$C$12)^(B41-1)</f>
        <v>1.1449</v>
      </c>
      <c r="F41" s="17" t="n">
        <f aca="false">Допущения!$C$71*E41</f>
        <v>3122.691852</v>
      </c>
      <c r="G41" s="17" t="n">
        <f aca="false">MIN(G40*(1+Допущения!$C$33),Допущения!$C$34)</f>
        <v>2500000</v>
      </c>
      <c r="H41" s="25" t="n">
        <f aca="false">MIN(Допущения!$C$30,G41/Допущения!$C$29)</f>
        <v>200</v>
      </c>
      <c r="I41" s="25" t="n">
        <f aca="false">MAX(0,G41-H41*Допущения!$C$29)/Допущения!$C$31</f>
        <v>293.333333333333</v>
      </c>
      <c r="J41" s="25" t="n">
        <f aca="false">IF(A41&gt;=Допущения!$C$35,Допущения!$C$36,0)</f>
        <v>20</v>
      </c>
      <c r="K41" s="25" t="n">
        <f aca="false">H41+I41+J41</f>
        <v>513.333333333333</v>
      </c>
      <c r="L41" s="25" t="n">
        <f aca="false">(L40-K40)*(1-Допущения!$C$44)+K40*(1-Допущения!$C$43)+K41</f>
        <v>3888.48252648117</v>
      </c>
      <c r="M41" s="25" t="n">
        <f aca="false">IF(A41&gt;=Допущения!$C$38,Допущения!$C$73/Допущения!$C$42*MIN(Допущения!$C$42,A41-Допущения!$C$38+1),0)</f>
        <v>20</v>
      </c>
      <c r="N41" s="25" t="n">
        <f aca="false">N40*(1-Допущения!$C$45)+M41</f>
        <v>443.307617412148</v>
      </c>
      <c r="O41" s="25" t="n">
        <f aca="false">L41+N41</f>
        <v>4331.79014389332</v>
      </c>
      <c r="P41" s="25" t="n">
        <f aca="false">L41*Допущения!$C$25</f>
        <v>583.272378972176</v>
      </c>
      <c r="Q41" s="25" t="n">
        <f aca="false">L41*(1-Допущения!$C$25)+N41</f>
        <v>3748.51776492114</v>
      </c>
      <c r="R41" s="17" t="n">
        <f aca="false">MAX(Допущения!$C$18,ROUNDUP(Q41/Допущения!$C$68+P41/Допущения!$C$69,0))</f>
        <v>53</v>
      </c>
      <c r="S41" s="17" t="n">
        <f aca="false">ROUNDUP(R41/Допущения!$C$48,0)</f>
        <v>5</v>
      </c>
      <c r="T41" s="17" t="n">
        <f aca="false">L41*F41/(1+Допущения!$C$6)</f>
        <v>9952895.65744846</v>
      </c>
      <c r="U41" s="17" t="n">
        <f aca="false">N41*Допущения!$C$28*E41/(1+Допущения!$C$6)</f>
        <v>827877.338884086</v>
      </c>
      <c r="V41" s="17" t="n">
        <f aca="false">O41*Допущения!$C$26*Допущения!$C$27/(1+Допущения!$C$6)</f>
        <v>532597.148839343</v>
      </c>
      <c r="W41" s="17" t="n">
        <f aca="false">T41+U41+V41</f>
        <v>11313370.1451719</v>
      </c>
      <c r="X41" s="17" t="n">
        <f aca="false">J41*Допущения!$C$37</f>
        <v>10000</v>
      </c>
      <c r="Y41" s="17" t="n">
        <f aca="false">(R41*Допущения!$C$47+S41*Допущения!$C$49)*D41*Допущения!$C$9</f>
        <v>7274346.912</v>
      </c>
      <c r="Z41" s="17" t="n">
        <f aca="false">(MAX(0,R41-R40)+R41*Допущения!$C$50/12)*Допущения!$C$51*D41</f>
        <v>189831.6</v>
      </c>
      <c r="AA41" s="17" t="n">
        <f aca="false">O41*(Допущения!$C$53+Допущения!$C$54)+(L41*F41+N41*Допущения!$C$28*E41)*Допущения!$C$13</f>
        <v>1817849.17752052</v>
      </c>
      <c r="AB41" s="17" t="n">
        <f aca="false">(R41+S41)*Допущения!$C$52</f>
        <v>156600</v>
      </c>
      <c r="AC41" s="17" t="n">
        <f aca="false">SUMPRODUCT(Допущения!$B$84:$B$91,Допущения!$C$84:$C$91,--(Допущения!$D$84:$D$91&lt;=A41))*D41*Допущения!$C$9</f>
        <v>2293165.728</v>
      </c>
      <c r="AD41" s="17" t="n">
        <f aca="false">(AC41+Y41)*Допущения!$C$14</f>
        <v>956751.264</v>
      </c>
      <c r="AE41" s="17" t="n">
        <f aca="false">Допущения!$C$55+Допущения!$C$56*O41/1000+Допущения!$C$57</f>
        <v>174654.321151147</v>
      </c>
      <c r="AF41" s="17" t="n">
        <f aca="false">SUMIF(Допущения!$B$95:$B$103,A41,Допущения!$C$95:$C$103)</f>
        <v>0</v>
      </c>
      <c r="AG41" s="17" t="n">
        <v>0</v>
      </c>
      <c r="AH41" s="17" t="n">
        <f aca="false">G41+SUM(X41:AG41)</f>
        <v>15373199.0026717</v>
      </c>
      <c r="AI41" s="17" t="n">
        <f aca="false">W41-AH41</f>
        <v>-4059828.85749978</v>
      </c>
      <c r="AJ41" s="17" t="n">
        <f aca="false">AJ40+AI41</f>
        <v>-123727584.815059</v>
      </c>
      <c r="AK41" s="17" t="n">
        <f aca="false">O41*Допущения!$C$58*Допущения!$C$59</f>
        <v>71474.5373742398</v>
      </c>
      <c r="AL41" s="17" t="n">
        <f aca="false">T41*Допущения!$C$72</f>
        <v>501826.671804124</v>
      </c>
      <c r="AM41" s="17" t="n">
        <f aca="false">IF(MOD(A41,12)=0,INDEX($F$70:$F$74,B41),0)</f>
        <v>0</v>
      </c>
      <c r="AN41" s="17" t="n">
        <f aca="false">AI41-AM41</f>
        <v>-4059828.85749978</v>
      </c>
      <c r="AO41" s="26" t="n">
        <f aca="false">1/(1+Допущения!$C$74)^A41</f>
        <v>0.550706887360618</v>
      </c>
      <c r="AP41" s="21" t="str">
        <f aca="false">IF(AND(A41&gt;Допущения!$C$19,MIN(AI41:AI$65)&gt;0),A41,"")</f>
        <v/>
      </c>
      <c r="AQ41" s="21" t="str">
        <f aca="false">IF(MIN(AJ41:AJ$65)&gt;0,A41,"")</f>
        <v/>
      </c>
    </row>
    <row r="42" customFormat="false" ht="15" hidden="false" customHeight="false" outlineLevel="0" collapsed="false">
      <c r="A42" s="28" t="n">
        <v>37</v>
      </c>
      <c r="B42" s="28" t="n">
        <f aca="false">INT((A42-1)/12)+1</f>
        <v>4</v>
      </c>
      <c r="C42" s="12" t="s">
        <v>462</v>
      </c>
      <c r="D42" s="15" t="n">
        <f aca="false">(1+Допущения!$C$11)^(B42-1)</f>
        <v>1.259712</v>
      </c>
      <c r="E42" s="15" t="n">
        <f aca="false">(1+Допущения!$C$12)^(B42-1)</f>
        <v>1.225043</v>
      </c>
      <c r="F42" s="17" t="n">
        <f aca="false">Допущения!$C$71*E42</f>
        <v>3341.28028164</v>
      </c>
      <c r="G42" s="17" t="n">
        <f aca="false">MIN(G41*(1+Допущения!$C$33),Допущения!$C$34)</f>
        <v>2500000</v>
      </c>
      <c r="H42" s="25" t="n">
        <f aca="false">MIN(Допущения!$C$30,G42/Допущения!$C$29)</f>
        <v>200</v>
      </c>
      <c r="I42" s="25" t="n">
        <f aca="false">MAX(0,G42-H42*Допущения!$C$29)/Допущения!$C$31</f>
        <v>293.333333333333</v>
      </c>
      <c r="J42" s="25" t="n">
        <f aca="false">IF(A42&gt;=Допущения!$C$35,Допущения!$C$36,0)</f>
        <v>20</v>
      </c>
      <c r="K42" s="25" t="n">
        <f aca="false">H42+I42+J42</f>
        <v>513.333333333333</v>
      </c>
      <c r="L42" s="25" t="n">
        <f aca="false">(L41-K41)*(1-Допущения!$C$44)+K41*(1-Допущения!$C$43)+K42</f>
        <v>3952.13725769601</v>
      </c>
      <c r="M42" s="25" t="n">
        <f aca="false">IF(A42&gt;=Допущения!$C$38,Допущения!$C$73/Допущения!$C$42*MIN(Допущения!$C$42,A42-Допущения!$C$38+1),0)</f>
        <v>20</v>
      </c>
      <c r="N42" s="25" t="n">
        <f aca="false">N41*(1-Допущения!$C$45)+M42</f>
        <v>454.441465063905</v>
      </c>
      <c r="O42" s="25" t="n">
        <f aca="false">L42+N42</f>
        <v>4406.57872275992</v>
      </c>
      <c r="P42" s="25" t="n">
        <f aca="false">L42*Допущения!$C$25</f>
        <v>592.820588654402</v>
      </c>
      <c r="Q42" s="25" t="n">
        <f aca="false">L42*(1-Допущения!$C$25)+N42</f>
        <v>3813.75813410551</v>
      </c>
      <c r="R42" s="17" t="n">
        <f aca="false">MAX(Допущения!$C$18,ROUNDUP(Q42/Допущения!$C$68+P42/Допущения!$C$69,0))</f>
        <v>54</v>
      </c>
      <c r="S42" s="17" t="n">
        <f aca="false">ROUNDUP(R42/Допущения!$C$48,0)</f>
        <v>5</v>
      </c>
      <c r="T42" s="17" t="n">
        <f aca="false">L42*F42/(1+Допущения!$C$6)</f>
        <v>10823933.0241594</v>
      </c>
      <c r="U42" s="17" t="n">
        <f aca="false">N42*Допущения!$C$28*E42/(1+Допущения!$C$6)</f>
        <v>908076.695094836</v>
      </c>
      <c r="V42" s="17" t="n">
        <f aca="false">O42*Допущения!$C$26*Допущения!$C$27/(1+Допущения!$C$6)</f>
        <v>541792.465913105</v>
      </c>
      <c r="W42" s="17" t="n">
        <f aca="false">T42+U42+V42</f>
        <v>12273802.1851673</v>
      </c>
      <c r="X42" s="17" t="n">
        <f aca="false">J42*Допущения!$C$37</f>
        <v>10000</v>
      </c>
      <c r="Y42" s="17" t="n">
        <f aca="false">(R42*Допущения!$C$47+S42*Допущения!$C$49)*D42*Допущения!$C$9</f>
        <v>7987506.26688</v>
      </c>
      <c r="Z42" s="17" t="n">
        <f aca="false">(MAX(0,R42-R41)+R42*Допущения!$C$50/12)*Допущения!$C$51*D42</f>
        <v>207222.624</v>
      </c>
      <c r="AA42" s="17" t="n">
        <f aca="false">O42*(Допущения!$C$53+Допущения!$C$54)+(L42*F42+N42*Допущения!$C$28*E42)*Допущения!$C$13</f>
        <v>1866036.16724219</v>
      </c>
      <c r="AB42" s="17" t="n">
        <f aca="false">(R42+S42)*Допущения!$C$52</f>
        <v>159300</v>
      </c>
      <c r="AC42" s="17" t="n">
        <f aca="false">SUMPRODUCT(Допущения!$B$84:$B$91,Допущения!$C$84:$C$91,--(Допущения!$D$84:$D$91&lt;=A42))*D42*Допущения!$C$9</f>
        <v>2476618.98624</v>
      </c>
      <c r="AD42" s="17" t="n">
        <f aca="false">(AC42+Y42)*Допущения!$C$14</f>
        <v>1046412.525312</v>
      </c>
      <c r="AE42" s="17" t="n">
        <f aca="false">Допущения!$C$55+Допущения!$C$56*O42/1000+Допущения!$C$57</f>
        <v>175252.629782079</v>
      </c>
      <c r="AF42" s="17" t="n">
        <f aca="false">SUMIF(Допущения!$B$95:$B$103,A42,Допущения!$C$95:$C$103)</f>
        <v>0</v>
      </c>
      <c r="AG42" s="17" t="n">
        <v>0</v>
      </c>
      <c r="AH42" s="17" t="n">
        <f aca="false">G42+SUM(X42:AG42)</f>
        <v>16428349.1994563</v>
      </c>
      <c r="AI42" s="17" t="n">
        <f aca="false">W42-AH42</f>
        <v>-4154547.01428894</v>
      </c>
      <c r="AJ42" s="17" t="n">
        <f aca="false">AJ41+AI42</f>
        <v>-127882131.829348</v>
      </c>
      <c r="AK42" s="17" t="n">
        <f aca="false">O42*Допущения!$C$58*Допущения!$C$59</f>
        <v>72708.5489255386</v>
      </c>
      <c r="AL42" s="17" t="n">
        <f aca="false">T42*Допущения!$C$72</f>
        <v>545744.522226524</v>
      </c>
      <c r="AM42" s="17" t="n">
        <f aca="false">IF(MOD(A42,12)=0,INDEX($F$70:$F$74,B42),0)</f>
        <v>0</v>
      </c>
      <c r="AN42" s="17" t="n">
        <f aca="false">AI42-AM42</f>
        <v>-4154547.01428894</v>
      </c>
      <c r="AO42" s="26" t="n">
        <f aca="false">1/(1+Допущения!$C$74)^A42</f>
        <v>0.541656370632077</v>
      </c>
      <c r="AP42" s="21" t="str">
        <f aca="false">IF(AND(A42&gt;Допущения!$C$19,MIN(AI42:AI$65)&gt;0),A42,"")</f>
        <v/>
      </c>
      <c r="AQ42" s="21" t="str">
        <f aca="false">IF(MIN(AJ42:AJ$65)&gt;0,A42,"")</f>
        <v/>
      </c>
    </row>
    <row r="43" customFormat="false" ht="15" hidden="false" customHeight="false" outlineLevel="0" collapsed="false">
      <c r="A43" s="28" t="n">
        <v>38</v>
      </c>
      <c r="B43" s="28" t="n">
        <f aca="false">INT((A43-1)/12)+1</f>
        <v>4</v>
      </c>
      <c r="C43" s="12" t="s">
        <v>462</v>
      </c>
      <c r="D43" s="15" t="n">
        <f aca="false">(1+Допущения!$C$11)^(B43-1)</f>
        <v>1.259712</v>
      </c>
      <c r="E43" s="15" t="n">
        <f aca="false">(1+Допущения!$C$12)^(B43-1)</f>
        <v>1.225043</v>
      </c>
      <c r="F43" s="17" t="n">
        <f aca="false">Допущения!$C$71*E43</f>
        <v>3341.28028164</v>
      </c>
      <c r="G43" s="17" t="n">
        <f aca="false">MIN(G42*(1+Допущения!$C$33),Допущения!$C$34)</f>
        <v>2500000</v>
      </c>
      <c r="H43" s="25" t="n">
        <f aca="false">MIN(Допущения!$C$30,G43/Допущения!$C$29)</f>
        <v>200</v>
      </c>
      <c r="I43" s="25" t="n">
        <f aca="false">MAX(0,G43-H43*Допущения!$C$29)/Допущения!$C$31</f>
        <v>293.333333333333</v>
      </c>
      <c r="J43" s="25" t="n">
        <f aca="false">IF(A43&gt;=Допущения!$C$35,Допущения!$C$36,0)</f>
        <v>20</v>
      </c>
      <c r="K43" s="25" t="n">
        <f aca="false">H43+I43+J43</f>
        <v>513.333333333333</v>
      </c>
      <c r="L43" s="25" t="n">
        <f aca="false">(L42-K42)*(1-Допущения!$C$44)+K42*(1-Допущения!$C$43)+K43</f>
        <v>4010.69961041366</v>
      </c>
      <c r="M43" s="25" t="n">
        <f aca="false">IF(A43&gt;=Допущения!$C$38,Допущения!$C$73/Допущения!$C$42*MIN(Допущения!$C$42,A43-Допущения!$C$38+1),0)</f>
        <v>20</v>
      </c>
      <c r="N43" s="25" t="n">
        <f aca="false">N42*(1-Допущения!$C$45)+M43</f>
        <v>465.352635762627</v>
      </c>
      <c r="O43" s="25" t="n">
        <f aca="false">L43+N43</f>
        <v>4476.05224617629</v>
      </c>
      <c r="P43" s="25" t="n">
        <f aca="false">L43*Допущения!$C$25</f>
        <v>601.60494156205</v>
      </c>
      <c r="Q43" s="25" t="n">
        <f aca="false">L43*(1-Допущения!$C$25)+N43</f>
        <v>3874.44730461424</v>
      </c>
      <c r="R43" s="17" t="n">
        <f aca="false">MAX(Допущения!$C$18,ROUNDUP(Q43/Допущения!$C$68+P43/Допущения!$C$69,0))</f>
        <v>55</v>
      </c>
      <c r="S43" s="17" t="n">
        <f aca="false">ROUNDUP(R43/Допущения!$C$48,0)</f>
        <v>5</v>
      </c>
      <c r="T43" s="17" t="n">
        <f aca="false">L43*F43/(1+Допущения!$C$6)</f>
        <v>10984320.9211938</v>
      </c>
      <c r="U43" s="17" t="n">
        <f aca="false">N43*Допущения!$C$28*E43/(1+Допущения!$C$6)</f>
        <v>929879.678733924</v>
      </c>
      <c r="V43" s="17" t="n">
        <f aca="false">O43*Допущения!$C$26*Допущения!$C$27/(1+Допущения!$C$6)</f>
        <v>550334.292562659</v>
      </c>
      <c r="W43" s="17" t="n">
        <f aca="false">T43+U43+V43</f>
        <v>12464534.8924904</v>
      </c>
      <c r="X43" s="17" t="n">
        <f aca="false">J43*Допущения!$C$37</f>
        <v>10000</v>
      </c>
      <c r="Y43" s="17" t="n">
        <f aca="false">(R43*Допущения!$C$47+S43*Допущения!$C$49)*D43*Допущения!$C$9</f>
        <v>8118717.8688</v>
      </c>
      <c r="Z43" s="17" t="n">
        <f aca="false">(MAX(0,R43-R42)+R43*Допущения!$C$50/12)*Допущения!$C$51*D43</f>
        <v>209427.12</v>
      </c>
      <c r="AA43" s="17" t="n">
        <f aca="false">O43*(Допущения!$C$53+Допущения!$C$54)+(L43*F43+N43*Допущения!$C$28*E43)*Допущения!$C$13</f>
        <v>1895394.91502876</v>
      </c>
      <c r="AB43" s="17" t="n">
        <f aca="false">(R43+S43)*Допущения!$C$52</f>
        <v>162000</v>
      </c>
      <c r="AC43" s="17" t="n">
        <f aca="false">SUMPRODUCT(Допущения!$B$84:$B$91,Допущения!$C$84:$C$91,--(Допущения!$D$84:$D$91&lt;=A43))*D43*Допущения!$C$9</f>
        <v>2476618.98624</v>
      </c>
      <c r="AD43" s="17" t="n">
        <f aca="false">(AC43+Y43)*Допущения!$C$14</f>
        <v>1059533.685504</v>
      </c>
      <c r="AE43" s="17" t="n">
        <f aca="false">Допущения!$C$55+Допущения!$C$56*O43/1000+Допущения!$C$57</f>
        <v>175808.41796941</v>
      </c>
      <c r="AF43" s="17" t="n">
        <f aca="false">SUMIF(Допущения!$B$95:$B$103,A43,Допущения!$C$95:$C$103)</f>
        <v>0</v>
      </c>
      <c r="AG43" s="17" t="n">
        <v>0</v>
      </c>
      <c r="AH43" s="17" t="n">
        <f aca="false">G43+SUM(X43:AG43)</f>
        <v>16607500.9935422</v>
      </c>
      <c r="AI43" s="17" t="n">
        <f aca="false">W43-AH43</f>
        <v>-4142966.10105182</v>
      </c>
      <c r="AJ43" s="17" t="n">
        <f aca="false">AJ42+AI43</f>
        <v>-132025097.9304</v>
      </c>
      <c r="AK43" s="17" t="n">
        <f aca="false">O43*Допущения!$C$58*Допущения!$C$59</f>
        <v>73854.8620619088</v>
      </c>
      <c r="AL43" s="17" t="n">
        <f aca="false">T43*Допущения!$C$72</f>
        <v>553831.306950947</v>
      </c>
      <c r="AM43" s="17" t="n">
        <f aca="false">IF(MOD(A43,12)=0,INDEX($F$70:$F$74,B43),0)</f>
        <v>0</v>
      </c>
      <c r="AN43" s="17" t="n">
        <f aca="false">AI43-AM43</f>
        <v>-4142966.10105182</v>
      </c>
      <c r="AO43" s="26" t="n">
        <f aca="false">1/(1+Допущения!$C$74)^A43</f>
        <v>0.53275459337808</v>
      </c>
      <c r="AP43" s="21" t="str">
        <f aca="false">IF(AND(A43&gt;Допущения!$C$19,MIN(AI43:AI$65)&gt;0),A43,"")</f>
        <v/>
      </c>
      <c r="AQ43" s="21" t="str">
        <f aca="false">IF(MIN(AJ43:AJ$65)&gt;0,A43,"")</f>
        <v/>
      </c>
    </row>
    <row r="44" customFormat="false" ht="15" hidden="false" customHeight="false" outlineLevel="0" collapsed="false">
      <c r="A44" s="28" t="n">
        <v>39</v>
      </c>
      <c r="B44" s="28" t="n">
        <f aca="false">INT((A44-1)/12)+1</f>
        <v>4</v>
      </c>
      <c r="C44" s="12" t="s">
        <v>462</v>
      </c>
      <c r="D44" s="15" t="n">
        <f aca="false">(1+Допущения!$C$11)^(B44-1)</f>
        <v>1.259712</v>
      </c>
      <c r="E44" s="15" t="n">
        <f aca="false">(1+Допущения!$C$12)^(B44-1)</f>
        <v>1.225043</v>
      </c>
      <c r="F44" s="17" t="n">
        <f aca="false">Допущения!$C$71*E44</f>
        <v>3341.28028164</v>
      </c>
      <c r="G44" s="17" t="n">
        <f aca="false">MIN(G43*(1+Допущения!$C$33),Допущения!$C$34)</f>
        <v>2500000</v>
      </c>
      <c r="H44" s="25" t="n">
        <f aca="false">MIN(Допущения!$C$30,G44/Допущения!$C$29)</f>
        <v>200</v>
      </c>
      <c r="I44" s="25" t="n">
        <f aca="false">MAX(0,G44-H44*Допущения!$C$29)/Допущения!$C$31</f>
        <v>293.333333333333</v>
      </c>
      <c r="J44" s="25" t="n">
        <f aca="false">IF(A44&gt;=Допущения!$C$35,Допущения!$C$36,0)</f>
        <v>20</v>
      </c>
      <c r="K44" s="25" t="n">
        <f aca="false">H44+I44+J44</f>
        <v>513.333333333333</v>
      </c>
      <c r="L44" s="25" t="n">
        <f aca="false">(L43-K43)*(1-Допущения!$C$44)+K43*(1-Допущения!$C$43)+K44</f>
        <v>4064.5769749139</v>
      </c>
      <c r="M44" s="25" t="n">
        <f aca="false">IF(A44&gt;=Допущения!$C$38,Допущения!$C$73/Допущения!$C$42*MIN(Допущения!$C$42,A44-Допущения!$C$38+1),0)</f>
        <v>20</v>
      </c>
      <c r="N44" s="25" t="n">
        <f aca="false">N43*(1-Допущения!$C$45)+M44</f>
        <v>476.045583047375</v>
      </c>
      <c r="O44" s="25" t="n">
        <f aca="false">L44+N44</f>
        <v>4540.62255796128</v>
      </c>
      <c r="P44" s="25" t="n">
        <f aca="false">L44*Допущения!$C$25</f>
        <v>609.686546237086</v>
      </c>
      <c r="Q44" s="25" t="n">
        <f aca="false">L44*(1-Допущения!$C$25)+N44</f>
        <v>3930.93601172419</v>
      </c>
      <c r="R44" s="17" t="n">
        <f aca="false">MAX(Допущения!$C$18,ROUNDUP(Q44/Допущения!$C$68+P44/Допущения!$C$69,0))</f>
        <v>56</v>
      </c>
      <c r="S44" s="17" t="n">
        <f aca="false">ROUNDUP(R44/Допущения!$C$48,0)</f>
        <v>5</v>
      </c>
      <c r="T44" s="17" t="n">
        <f aca="false">L44*F44/(1+Допущения!$C$6)</f>
        <v>11131877.7864654</v>
      </c>
      <c r="U44" s="17" t="n">
        <f aca="false">N44*Допущения!$C$28*E44/(1+Допущения!$C$6)</f>
        <v>951246.602700229</v>
      </c>
      <c r="V44" s="17" t="n">
        <f aca="false">O44*Допущения!$C$26*Допущения!$C$27/(1+Допущения!$C$6)</f>
        <v>558273.265323108</v>
      </c>
      <c r="W44" s="17" t="n">
        <f aca="false">T44+U44+V44</f>
        <v>12641397.6544887</v>
      </c>
      <c r="X44" s="17" t="n">
        <f aca="false">J44*Допущения!$C$37</f>
        <v>10000</v>
      </c>
      <c r="Y44" s="17" t="n">
        <f aca="false">(R44*Допущения!$C$47+S44*Допущения!$C$49)*D44*Допущения!$C$9</f>
        <v>8249929.47072</v>
      </c>
      <c r="Z44" s="17" t="n">
        <f aca="false">(MAX(0,R44-R43)+R44*Допущения!$C$50/12)*Допущения!$C$51*D44</f>
        <v>211631.616</v>
      </c>
      <c r="AA44" s="17" t="n">
        <f aca="false">O44*(Допущения!$C$53+Допущения!$C$54)+(L44*F44+N44*Допущения!$C$28*E44)*Допущения!$C$13</f>
        <v>1922672.64524194</v>
      </c>
      <c r="AB44" s="17" t="n">
        <f aca="false">(R44+S44)*Допущения!$C$52</f>
        <v>164700</v>
      </c>
      <c r="AC44" s="17" t="n">
        <f aca="false">SUMPRODUCT(Допущения!$B$84:$B$91,Допущения!$C$84:$C$91,--(Допущения!$D$84:$D$91&lt;=A44))*D44*Допущения!$C$9</f>
        <v>2476618.98624</v>
      </c>
      <c r="AD44" s="17" t="n">
        <f aca="false">(AC44+Y44)*Допущения!$C$14</f>
        <v>1072654.845696</v>
      </c>
      <c r="AE44" s="17" t="n">
        <f aca="false">Допущения!$C$55+Допущения!$C$56*O44/1000+Допущения!$C$57</f>
        <v>176324.98046369</v>
      </c>
      <c r="AF44" s="17" t="n">
        <f aca="false">SUMIF(Допущения!$B$95:$B$103,A44,Допущения!$C$95:$C$103)</f>
        <v>0</v>
      </c>
      <c r="AG44" s="17" t="n">
        <v>0</v>
      </c>
      <c r="AH44" s="17" t="n">
        <f aca="false">G44+SUM(X44:AG44)</f>
        <v>16784532.5443616</v>
      </c>
      <c r="AI44" s="17" t="n">
        <f aca="false">W44-AH44</f>
        <v>-4143134.8898729</v>
      </c>
      <c r="AJ44" s="17" t="n">
        <f aca="false">AJ43+AI44</f>
        <v>-136168232.820273</v>
      </c>
      <c r="AK44" s="17" t="n">
        <f aca="false">O44*Допущения!$C$58*Допущения!$C$59</f>
        <v>74920.2722063611</v>
      </c>
      <c r="AL44" s="17" t="n">
        <f aca="false">T44*Допущения!$C$72</f>
        <v>561271.148897415</v>
      </c>
      <c r="AM44" s="17" t="n">
        <f aca="false">IF(MOD(A44,12)=0,INDEX($F$70:$F$74,B44),0)</f>
        <v>0</v>
      </c>
      <c r="AN44" s="17" t="n">
        <f aca="false">AI44-AM44</f>
        <v>-4143134.8898729</v>
      </c>
      <c r="AO44" s="26" t="n">
        <f aca="false">1/(1+Допущения!$C$74)^A44</f>
        <v>0.523999111160154</v>
      </c>
      <c r="AP44" s="21" t="str">
        <f aca="false">IF(AND(A44&gt;Допущения!$C$19,MIN(AI44:AI$65)&gt;0),A44,"")</f>
        <v/>
      </c>
      <c r="AQ44" s="21" t="str">
        <f aca="false">IF(MIN(AJ44:AJ$65)&gt;0,A44,"")</f>
        <v/>
      </c>
    </row>
    <row r="45" customFormat="false" ht="15" hidden="false" customHeight="false" outlineLevel="0" collapsed="false">
      <c r="A45" s="28" t="n">
        <v>40</v>
      </c>
      <c r="B45" s="28" t="n">
        <f aca="false">INT((A45-1)/12)+1</f>
        <v>4</v>
      </c>
      <c r="C45" s="12" t="s">
        <v>462</v>
      </c>
      <c r="D45" s="15" t="n">
        <f aca="false">(1+Допущения!$C$11)^(B45-1)</f>
        <v>1.259712</v>
      </c>
      <c r="E45" s="15" t="n">
        <f aca="false">(1+Допущения!$C$12)^(B45-1)</f>
        <v>1.225043</v>
      </c>
      <c r="F45" s="17" t="n">
        <f aca="false">Допущения!$C$71*E45</f>
        <v>3341.28028164</v>
      </c>
      <c r="G45" s="17" t="n">
        <f aca="false">MIN(G44*(1+Допущения!$C$33),Допущения!$C$34)</f>
        <v>2500000</v>
      </c>
      <c r="H45" s="25" t="n">
        <f aca="false">MIN(Допущения!$C$30,G45/Допущения!$C$29)</f>
        <v>200</v>
      </c>
      <c r="I45" s="25" t="n">
        <f aca="false">MAX(0,G45-H45*Допущения!$C$29)/Допущения!$C$31</f>
        <v>293.333333333333</v>
      </c>
      <c r="J45" s="25" t="n">
        <f aca="false">IF(A45&gt;=Допущения!$C$35,Допущения!$C$36,0)</f>
        <v>20</v>
      </c>
      <c r="K45" s="25" t="n">
        <f aca="false">H45+I45+J45</f>
        <v>513.333333333333</v>
      </c>
      <c r="L45" s="25" t="n">
        <f aca="false">(L44-K44)*(1-Допущения!$C$44)+K44*(1-Допущения!$C$43)+K45</f>
        <v>4114.14415025413</v>
      </c>
      <c r="M45" s="25" t="n">
        <f aca="false">IF(A45&gt;=Допущения!$C$38,Допущения!$C$73/Допущения!$C$42*MIN(Допущения!$C$42,A45-Допущения!$C$38+1),0)</f>
        <v>20</v>
      </c>
      <c r="N45" s="25" t="n">
        <f aca="false">N44*(1-Допущения!$C$45)+M45</f>
        <v>486.524671386427</v>
      </c>
      <c r="O45" s="25" t="n">
        <f aca="false">L45+N45</f>
        <v>4600.66882164055</v>
      </c>
      <c r="P45" s="25" t="n">
        <f aca="false">L45*Допущения!$C$25</f>
        <v>617.121622538119</v>
      </c>
      <c r="Q45" s="25" t="n">
        <f aca="false">L45*(1-Допущения!$C$25)+N45</f>
        <v>3983.54719910243</v>
      </c>
      <c r="R45" s="17" t="n">
        <f aca="false">MAX(Допущения!$C$18,ROUNDUP(Q45/Допущения!$C$68+P45/Допущения!$C$69,0))</f>
        <v>57</v>
      </c>
      <c r="S45" s="17" t="n">
        <f aca="false">ROUNDUP(R45/Допущения!$C$48,0)</f>
        <v>5</v>
      </c>
      <c r="T45" s="17" t="n">
        <f aca="false">L45*F45/(1+Допущения!$C$6)</f>
        <v>11267630.1025153</v>
      </c>
      <c r="U45" s="17" t="n">
        <f aca="false">N45*Допущения!$C$28*E45/(1+Допущения!$C$6)</f>
        <v>972186.188187207</v>
      </c>
      <c r="V45" s="17" t="n">
        <f aca="false">O45*Допущения!$C$26*Допущения!$C$27/(1+Допущения!$C$6)</f>
        <v>565656.002660724</v>
      </c>
      <c r="W45" s="17" t="n">
        <f aca="false">T45+U45+V45</f>
        <v>12805472.2933632</v>
      </c>
      <c r="X45" s="17" t="n">
        <f aca="false">J45*Допущения!$C$37</f>
        <v>10000</v>
      </c>
      <c r="Y45" s="17" t="n">
        <f aca="false">(R45*Допущения!$C$47+S45*Допущения!$C$49)*D45*Допущения!$C$9</f>
        <v>8381141.07264</v>
      </c>
      <c r="Z45" s="17" t="n">
        <f aca="false">(MAX(0,R45-R44)+R45*Допущения!$C$50/12)*Допущения!$C$51*D45</f>
        <v>213836.112</v>
      </c>
      <c r="AA45" s="17" t="n">
        <f aca="false">O45*(Допущения!$C$53+Допущения!$C$54)+(L45*F45+N45*Допущения!$C$28*E45)*Допущения!$C$13</f>
        <v>1948030.48564263</v>
      </c>
      <c r="AB45" s="17" t="n">
        <f aca="false">(R45+S45)*Допущения!$C$52</f>
        <v>167400</v>
      </c>
      <c r="AC45" s="17" t="n">
        <f aca="false">SUMPRODUCT(Допущения!$B$84:$B$91,Допущения!$C$84:$C$91,--(Допущения!$D$84:$D$91&lt;=A45))*D45*Допущения!$C$9</f>
        <v>2476618.98624</v>
      </c>
      <c r="AD45" s="17" t="n">
        <f aca="false">(AC45+Y45)*Допущения!$C$14</f>
        <v>1085776.005888</v>
      </c>
      <c r="AE45" s="17" t="n">
        <f aca="false">Допущения!$C$55+Допущения!$C$56*O45/1000+Допущения!$C$57</f>
        <v>176805.350573124</v>
      </c>
      <c r="AF45" s="17" t="n">
        <f aca="false">SUMIF(Допущения!$B$95:$B$103,A45,Допущения!$C$95:$C$103)</f>
        <v>0</v>
      </c>
      <c r="AG45" s="17" t="n">
        <v>0</v>
      </c>
      <c r="AH45" s="17" t="n">
        <f aca="false">G45+SUM(X45:AG45)</f>
        <v>16959608.0129838</v>
      </c>
      <c r="AI45" s="17" t="n">
        <f aca="false">W45-AH45</f>
        <v>-4154135.71962053</v>
      </c>
      <c r="AJ45" s="17" t="n">
        <f aca="false">AJ44+AI45</f>
        <v>-140322368.539893</v>
      </c>
      <c r="AK45" s="17" t="n">
        <f aca="false">O45*Допущения!$C$58*Допущения!$C$59</f>
        <v>75911.0355570691</v>
      </c>
      <c r="AL45" s="17" t="n">
        <f aca="false">T45*Допущения!$C$72</f>
        <v>568115.803488166</v>
      </c>
      <c r="AM45" s="17" t="n">
        <f aca="false">IF(MOD(A45,12)=0,INDEX($F$70:$F$74,B45),0)</f>
        <v>0</v>
      </c>
      <c r="AN45" s="17" t="n">
        <f aca="false">AI45-AM45</f>
        <v>-4154135.71962053</v>
      </c>
      <c r="AO45" s="26" t="n">
        <f aca="false">1/(1+Допущения!$C$74)^A45</f>
        <v>0.515387519712614</v>
      </c>
      <c r="AP45" s="21" t="str">
        <f aca="false">IF(AND(A45&gt;Допущения!$C$19,MIN(AI45:AI$65)&gt;0),A45,"")</f>
        <v/>
      </c>
      <c r="AQ45" s="21" t="str">
        <f aca="false">IF(MIN(AJ45:AJ$65)&gt;0,A45,"")</f>
        <v/>
      </c>
    </row>
    <row r="46" customFormat="false" ht="15" hidden="false" customHeight="false" outlineLevel="0" collapsed="false">
      <c r="A46" s="28" t="n">
        <v>41</v>
      </c>
      <c r="B46" s="28" t="n">
        <f aca="false">INT((A46-1)/12)+1</f>
        <v>4</v>
      </c>
      <c r="C46" s="12" t="s">
        <v>462</v>
      </c>
      <c r="D46" s="15" t="n">
        <f aca="false">(1+Допущения!$C$11)^(B46-1)</f>
        <v>1.259712</v>
      </c>
      <c r="E46" s="15" t="n">
        <f aca="false">(1+Допущения!$C$12)^(B46-1)</f>
        <v>1.225043</v>
      </c>
      <c r="F46" s="17" t="n">
        <f aca="false">Допущения!$C$71*E46</f>
        <v>3341.28028164</v>
      </c>
      <c r="G46" s="17" t="n">
        <f aca="false">MIN(G45*(1+Допущения!$C$33),Допущения!$C$34)</f>
        <v>2500000</v>
      </c>
      <c r="H46" s="25" t="n">
        <f aca="false">MIN(Допущения!$C$30,G46/Допущения!$C$29)</f>
        <v>200</v>
      </c>
      <c r="I46" s="25" t="n">
        <f aca="false">MAX(0,G46-H46*Допущения!$C$29)/Допущения!$C$31</f>
        <v>293.333333333333</v>
      </c>
      <c r="J46" s="25" t="n">
        <f aca="false">IF(A46&gt;=Допущения!$C$35,Допущения!$C$36,0)</f>
        <v>20</v>
      </c>
      <c r="K46" s="25" t="n">
        <f aca="false">H46+I46+J46</f>
        <v>513.333333333333</v>
      </c>
      <c r="L46" s="25" t="n">
        <f aca="false">(L45-K45)*(1-Допущения!$C$44)+K45*(1-Допущения!$C$43)+K46</f>
        <v>4159.74595156713</v>
      </c>
      <c r="M46" s="25" t="n">
        <f aca="false">IF(A46&gt;=Допущения!$C$38,Допущения!$C$73/Допущения!$C$42*MIN(Допущения!$C$42,A46-Допущения!$C$38+1),0)</f>
        <v>20</v>
      </c>
      <c r="N46" s="25" t="n">
        <f aca="false">N45*(1-Допущения!$C$45)+M46</f>
        <v>496.794177958698</v>
      </c>
      <c r="O46" s="25" t="n">
        <f aca="false">L46+N46</f>
        <v>4656.54012952583</v>
      </c>
      <c r="P46" s="25" t="n">
        <f aca="false">L46*Допущения!$C$25</f>
        <v>623.961892735069</v>
      </c>
      <c r="Q46" s="25" t="n">
        <f aca="false">L46*(1-Допущения!$C$25)+N46</f>
        <v>4032.57823679076</v>
      </c>
      <c r="R46" s="17" t="n">
        <f aca="false">MAX(Допущения!$C$18,ROUNDUP(Q46/Допущения!$C$68+P46/Допущения!$C$69,0))</f>
        <v>57</v>
      </c>
      <c r="S46" s="17" t="n">
        <f aca="false">ROUNDUP(R46/Допущения!$C$48,0)</f>
        <v>5</v>
      </c>
      <c r="T46" s="17" t="n">
        <f aca="false">L46*F46/(1+Допущения!$C$6)</f>
        <v>11392522.2332812</v>
      </c>
      <c r="U46" s="17" t="n">
        <f aca="false">N46*Допущения!$C$28*E46/(1+Допущения!$C$6)</f>
        <v>992706.981964447</v>
      </c>
      <c r="V46" s="17" t="n">
        <f aca="false">O46*Допущения!$C$26*Допущения!$C$27/(1+Допущения!$C$6)</f>
        <v>572525.425761372</v>
      </c>
      <c r="W46" s="17" t="n">
        <f aca="false">T46+U46+V46</f>
        <v>12957754.641007</v>
      </c>
      <c r="X46" s="17" t="n">
        <f aca="false">J46*Допущения!$C$37</f>
        <v>10000</v>
      </c>
      <c r="Y46" s="17" t="n">
        <f aca="false">(R46*Допущения!$C$47+S46*Допущения!$C$49)*D46*Допущения!$C$9</f>
        <v>8381141.07264</v>
      </c>
      <c r="Z46" s="17" t="n">
        <f aca="false">(MAX(0,R46-R45)+R46*Допущения!$C$50/12)*Допущения!$C$51*D46</f>
        <v>125656.272</v>
      </c>
      <c r="AA46" s="17" t="n">
        <f aca="false">O46*(Допущения!$C$53+Допущения!$C$54)+(L46*F46+N46*Допущения!$C$28*E46)*Допущения!$C$13</f>
        <v>1971616.78084372</v>
      </c>
      <c r="AB46" s="17" t="n">
        <f aca="false">(R46+S46)*Допущения!$C$52</f>
        <v>167400</v>
      </c>
      <c r="AC46" s="17" t="n">
        <f aca="false">SUMPRODUCT(Допущения!$B$84:$B$91,Допущения!$C$84:$C$91,--(Допущения!$D$84:$D$91&lt;=A46))*D46*Допущения!$C$9</f>
        <v>2476618.98624</v>
      </c>
      <c r="AD46" s="17" t="n">
        <f aca="false">(AC46+Y46)*Допущения!$C$14</f>
        <v>1085776.005888</v>
      </c>
      <c r="AE46" s="17" t="n">
        <f aca="false">Допущения!$C$55+Допущения!$C$56*O46/1000+Допущения!$C$57</f>
        <v>177252.321036207</v>
      </c>
      <c r="AF46" s="17" t="n">
        <f aca="false">SUMIF(Допущения!$B$95:$B$103,A46,Допущения!$C$95:$C$103)</f>
        <v>0</v>
      </c>
      <c r="AG46" s="17" t="n">
        <v>0</v>
      </c>
      <c r="AH46" s="17" t="n">
        <f aca="false">G46+SUM(X46:AG46)</f>
        <v>16895461.4386479</v>
      </c>
      <c r="AI46" s="17" t="n">
        <f aca="false">W46-AH46</f>
        <v>-3937706.79764091</v>
      </c>
      <c r="AJ46" s="17" t="n">
        <f aca="false">AJ45+AI46</f>
        <v>-144260075.337534</v>
      </c>
      <c r="AK46" s="17" t="n">
        <f aca="false">O46*Допущения!$C$58*Допущения!$C$59</f>
        <v>76832.9121371761</v>
      </c>
      <c r="AL46" s="17" t="n">
        <f aca="false">T46*Допущения!$C$72</f>
        <v>574412.885711657</v>
      </c>
      <c r="AM46" s="17" t="n">
        <f aca="false">IF(MOD(A46,12)=0,INDEX($F$70:$F$74,B46),0)</f>
        <v>0</v>
      </c>
      <c r="AN46" s="17" t="n">
        <f aca="false">AI46-AM46</f>
        <v>-3937706.79764091</v>
      </c>
      <c r="AO46" s="26" t="n">
        <f aca="false">1/(1+Допущения!$C$74)^A46</f>
        <v>0.506917454282353</v>
      </c>
      <c r="AP46" s="21" t="str">
        <f aca="false">IF(AND(A46&gt;Допущения!$C$19,MIN(AI46:AI$65)&gt;0),A46,"")</f>
        <v/>
      </c>
      <c r="AQ46" s="21" t="str">
        <f aca="false">IF(MIN(AJ46:AJ$65)&gt;0,A46,"")</f>
        <v/>
      </c>
    </row>
    <row r="47" customFormat="false" ht="15" hidden="false" customHeight="false" outlineLevel="0" collapsed="false">
      <c r="A47" s="28" t="n">
        <v>42</v>
      </c>
      <c r="B47" s="28" t="n">
        <f aca="false">INT((A47-1)/12)+1</f>
        <v>4</v>
      </c>
      <c r="C47" s="12" t="s">
        <v>462</v>
      </c>
      <c r="D47" s="15" t="n">
        <f aca="false">(1+Допущения!$C$11)^(B47-1)</f>
        <v>1.259712</v>
      </c>
      <c r="E47" s="15" t="n">
        <f aca="false">(1+Допущения!$C$12)^(B47-1)</f>
        <v>1.225043</v>
      </c>
      <c r="F47" s="17" t="n">
        <f aca="false">Допущения!$C$71*E47</f>
        <v>3341.28028164</v>
      </c>
      <c r="G47" s="17" t="n">
        <f aca="false">MIN(G46*(1+Допущения!$C$33),Допущения!$C$34)</f>
        <v>2500000</v>
      </c>
      <c r="H47" s="25" t="n">
        <f aca="false">MIN(Допущения!$C$30,G47/Допущения!$C$29)</f>
        <v>200</v>
      </c>
      <c r="I47" s="25" t="n">
        <f aca="false">MAX(0,G47-H47*Допущения!$C$29)/Допущения!$C$31</f>
        <v>293.333333333333</v>
      </c>
      <c r="J47" s="25" t="n">
        <f aca="false">IF(A47&gt;=Допущения!$C$35,Допущения!$C$36,0)</f>
        <v>20</v>
      </c>
      <c r="K47" s="25" t="n">
        <f aca="false">H47+I47+J47</f>
        <v>513.333333333333</v>
      </c>
      <c r="L47" s="25" t="n">
        <f aca="false">(L46-K46)*(1-Допущения!$C$44)+K46*(1-Допущения!$C$43)+K47</f>
        <v>4201.69960877509</v>
      </c>
      <c r="M47" s="25" t="n">
        <f aca="false">IF(A47&gt;=Допущения!$C$38,Допущения!$C$73/Допущения!$C$42*MIN(Допущения!$C$42,A47-Допущения!$C$38+1),0)</f>
        <v>20</v>
      </c>
      <c r="N47" s="25" t="n">
        <f aca="false">N46*(1-Допущения!$C$45)+M47</f>
        <v>506.858294399525</v>
      </c>
      <c r="O47" s="25" t="n">
        <f aca="false">L47+N47</f>
        <v>4708.55790317462</v>
      </c>
      <c r="P47" s="25" t="n">
        <f aca="false">L47*Допущения!$C$25</f>
        <v>630.254941316264</v>
      </c>
      <c r="Q47" s="25" t="n">
        <f aca="false">L47*(1-Допущения!$C$25)+N47</f>
        <v>4078.30296185835</v>
      </c>
      <c r="R47" s="17" t="n">
        <f aca="false">MAX(Допущения!$C$18,ROUNDUP(Q47/Допущения!$C$68+P47/Допущения!$C$69,0))</f>
        <v>58</v>
      </c>
      <c r="S47" s="17" t="n">
        <f aca="false">ROUNDUP(R47/Допущения!$C$48,0)</f>
        <v>5</v>
      </c>
      <c r="T47" s="17" t="n">
        <f aca="false">L47*F47/(1+Допущения!$C$6)</f>
        <v>11507422.9935858</v>
      </c>
      <c r="U47" s="17" t="n">
        <f aca="false">N47*Допущения!$C$28*E47/(1+Допущения!$C$6)</f>
        <v>1012817.35986614</v>
      </c>
      <c r="V47" s="17" t="n">
        <f aca="false">O47*Допущения!$C$26*Допущения!$C$27/(1+Допущения!$C$6)</f>
        <v>578921.05366901</v>
      </c>
      <c r="W47" s="17" t="n">
        <f aca="false">T47+U47+V47</f>
        <v>13099161.407121</v>
      </c>
      <c r="X47" s="17" t="n">
        <f aca="false">J47*Допущения!$C$37</f>
        <v>10000</v>
      </c>
      <c r="Y47" s="17" t="n">
        <f aca="false">(R47*Допущения!$C$47+S47*Допущения!$C$49)*D47*Допущения!$C$9</f>
        <v>8512352.67456</v>
      </c>
      <c r="Z47" s="17" t="n">
        <f aca="false">(MAX(0,R47-R46)+R47*Допущения!$C$50/12)*Допущения!$C$51*D47</f>
        <v>216040.608</v>
      </c>
      <c r="AA47" s="17" t="n">
        <f aca="false">O47*(Допущения!$C$53+Допущения!$C$54)+(L47*F47+N47*Допущения!$C$28*E47)*Допущения!$C$13</f>
        <v>1993568.11282054</v>
      </c>
      <c r="AB47" s="17" t="n">
        <f aca="false">(R47+S47)*Допущения!$C$52</f>
        <v>170100</v>
      </c>
      <c r="AC47" s="17" t="n">
        <f aca="false">SUMPRODUCT(Допущения!$B$84:$B$91,Допущения!$C$84:$C$91,--(Допущения!$D$84:$D$91&lt;=A47))*D47*Допущения!$C$9</f>
        <v>2476618.98624</v>
      </c>
      <c r="AD47" s="17" t="n">
        <f aca="false">(AC47+Y47)*Допущения!$C$14</f>
        <v>1098897.16608</v>
      </c>
      <c r="AE47" s="17" t="n">
        <f aca="false">Допущения!$C$55+Допущения!$C$56*O47/1000+Допущения!$C$57</f>
        <v>177668.463225397</v>
      </c>
      <c r="AF47" s="17" t="n">
        <f aca="false">SUMIF(Допущения!$B$95:$B$103,A47,Допущения!$C$95:$C$103)</f>
        <v>0</v>
      </c>
      <c r="AG47" s="17" t="n">
        <v>0</v>
      </c>
      <c r="AH47" s="17" t="n">
        <f aca="false">G47+SUM(X47:AG47)</f>
        <v>17155246.0109259</v>
      </c>
      <c r="AI47" s="17" t="n">
        <f aca="false">W47-AH47</f>
        <v>-4056084.60380496</v>
      </c>
      <c r="AJ47" s="17" t="n">
        <f aca="false">AJ46+AI47</f>
        <v>-148316159.941339</v>
      </c>
      <c r="AK47" s="17" t="n">
        <f aca="false">O47*Допущения!$C$58*Допущения!$C$59</f>
        <v>77691.2054023812</v>
      </c>
      <c r="AL47" s="17" t="n">
        <f aca="false">T47*Допущения!$C$72</f>
        <v>580206.201357269</v>
      </c>
      <c r="AM47" s="17" t="n">
        <f aca="false">IF(MOD(A47,12)=0,INDEX($F$70:$F$74,B47),0)</f>
        <v>0</v>
      </c>
      <c r="AN47" s="17" t="n">
        <f aca="false">AI47-AM47</f>
        <v>-4056084.60380496</v>
      </c>
      <c r="AO47" s="26" t="n">
        <f aca="false">1/(1+Допущения!$C$74)^A47</f>
        <v>0.498586588979468</v>
      </c>
      <c r="AP47" s="21" t="str">
        <f aca="false">IF(AND(A47&gt;Допущения!$C$19,MIN(AI47:AI$65)&gt;0),A47,"")</f>
        <v/>
      </c>
      <c r="AQ47" s="21" t="str">
        <f aca="false">IF(MIN(AJ47:AJ$65)&gt;0,A47,"")</f>
        <v/>
      </c>
    </row>
    <row r="48" customFormat="false" ht="15" hidden="false" customHeight="false" outlineLevel="0" collapsed="false">
      <c r="A48" s="28" t="n">
        <v>43</v>
      </c>
      <c r="B48" s="28" t="n">
        <f aca="false">INT((A48-1)/12)+1</f>
        <v>4</v>
      </c>
      <c r="C48" s="12" t="s">
        <v>462</v>
      </c>
      <c r="D48" s="15" t="n">
        <f aca="false">(1+Допущения!$C$11)^(B48-1)</f>
        <v>1.259712</v>
      </c>
      <c r="E48" s="15" t="n">
        <f aca="false">(1+Допущения!$C$12)^(B48-1)</f>
        <v>1.225043</v>
      </c>
      <c r="F48" s="17" t="n">
        <f aca="false">Допущения!$C$71*E48</f>
        <v>3341.28028164</v>
      </c>
      <c r="G48" s="17" t="n">
        <f aca="false">MIN(G47*(1+Допущения!$C$33),Допущения!$C$34)</f>
        <v>2500000</v>
      </c>
      <c r="H48" s="25" t="n">
        <f aca="false">MIN(Допущения!$C$30,G48/Допущения!$C$29)</f>
        <v>200</v>
      </c>
      <c r="I48" s="25" t="n">
        <f aca="false">MAX(0,G48-H48*Допущения!$C$29)/Допущения!$C$31</f>
        <v>293.333333333333</v>
      </c>
      <c r="J48" s="25" t="n">
        <f aca="false">IF(A48&gt;=Допущения!$C$35,Допущения!$C$36,0)</f>
        <v>20</v>
      </c>
      <c r="K48" s="25" t="n">
        <f aca="false">H48+I48+J48</f>
        <v>513.333333333333</v>
      </c>
      <c r="L48" s="25" t="n">
        <f aca="false">(L47-K47)*(1-Допущения!$C$44)+K47*(1-Допущения!$C$43)+K48</f>
        <v>4240.29697340642</v>
      </c>
      <c r="M48" s="25" t="n">
        <f aca="false">IF(A48&gt;=Допущения!$C$38,Допущения!$C$73/Допущения!$C$42*MIN(Допущения!$C$42,A48-Допущения!$C$38+1),0)</f>
        <v>20</v>
      </c>
      <c r="N48" s="25" t="n">
        <f aca="false">N47*(1-Допущения!$C$45)+M48</f>
        <v>516.721128511534</v>
      </c>
      <c r="O48" s="25" t="n">
        <f aca="false">L48+N48</f>
        <v>4757.01810191795</v>
      </c>
      <c r="P48" s="25" t="n">
        <f aca="false">L48*Допущения!$C$25</f>
        <v>636.044546010963</v>
      </c>
      <c r="Q48" s="25" t="n">
        <f aca="false">L48*(1-Допущения!$C$25)+N48</f>
        <v>4120.97355590699</v>
      </c>
      <c r="R48" s="17" t="n">
        <f aca="false">MAX(Допущения!$C$18,ROUNDUP(Q48/Допущения!$C$68+P48/Допущения!$C$69,0))</f>
        <v>58</v>
      </c>
      <c r="S48" s="17" t="n">
        <f aca="false">ROUNDUP(R48/Допущения!$C$48,0)</f>
        <v>5</v>
      </c>
      <c r="T48" s="17" t="n">
        <f aca="false">L48*F48/(1+Допущения!$C$6)</f>
        <v>11613131.6930661</v>
      </c>
      <c r="U48" s="17" t="n">
        <f aca="false">N48*Допущения!$C$28*E48/(1+Допущения!$C$6)</f>
        <v>1032525.5302098</v>
      </c>
      <c r="V48" s="17" t="n">
        <f aca="false">O48*Допущения!$C$26*Допущения!$C$27/(1+Допущения!$C$6)</f>
        <v>584879.274825978</v>
      </c>
      <c r="W48" s="17" t="n">
        <f aca="false">T48+U48+V48</f>
        <v>13230536.4981019</v>
      </c>
      <c r="X48" s="17" t="n">
        <f aca="false">J48*Допущения!$C$37</f>
        <v>10000</v>
      </c>
      <c r="Y48" s="17" t="n">
        <f aca="false">(R48*Допущения!$C$47+S48*Допущения!$C$49)*D48*Допущения!$C$9</f>
        <v>8512352.67456</v>
      </c>
      <c r="Z48" s="17" t="n">
        <f aca="false">(MAX(0,R48-R47)+R48*Допущения!$C$50/12)*Допущения!$C$51*D48</f>
        <v>127860.768</v>
      </c>
      <c r="AA48" s="17" t="n">
        <f aca="false">O48*(Допущения!$C$53+Допущения!$C$54)+(L48*F48+N48*Допущения!$C$28*E48)*Допущения!$C$13</f>
        <v>2014010.23982319</v>
      </c>
      <c r="AB48" s="17" t="n">
        <f aca="false">(R48+S48)*Допущения!$C$52</f>
        <v>170100</v>
      </c>
      <c r="AC48" s="17" t="n">
        <f aca="false">SUMPRODUCT(Допущения!$B$84:$B$91,Допущения!$C$84:$C$91,--(Допущения!$D$84:$D$91&lt;=A48))*D48*Допущения!$C$9</f>
        <v>2476618.98624</v>
      </c>
      <c r="AD48" s="17" t="n">
        <f aca="false">(AC48+Y48)*Допущения!$C$14</f>
        <v>1098897.16608</v>
      </c>
      <c r="AE48" s="17" t="n">
        <f aca="false">Допущения!$C$55+Допущения!$C$56*O48/1000+Допущения!$C$57</f>
        <v>178056.144815344</v>
      </c>
      <c r="AF48" s="17" t="n">
        <f aca="false">SUMIF(Допущения!$B$95:$B$103,A48,Допущения!$C$95:$C$103)</f>
        <v>0</v>
      </c>
      <c r="AG48" s="17" t="n">
        <v>0</v>
      </c>
      <c r="AH48" s="17" t="n">
        <f aca="false">G48+SUM(X48:AG48)</f>
        <v>17087895.9795185</v>
      </c>
      <c r="AI48" s="17" t="n">
        <f aca="false">W48-AH48</f>
        <v>-3857359.48141666</v>
      </c>
      <c r="AJ48" s="17" t="n">
        <f aca="false">AJ47+AI48</f>
        <v>-152173519.422756</v>
      </c>
      <c r="AK48" s="17" t="n">
        <f aca="false">O48*Допущения!$C$58*Допущения!$C$59</f>
        <v>78490.7986816462</v>
      </c>
      <c r="AL48" s="17" t="n">
        <f aca="false">T48*Допущения!$C$72</f>
        <v>585536.051751232</v>
      </c>
      <c r="AM48" s="17" t="n">
        <f aca="false">IF(MOD(A48,12)=0,INDEX($F$70:$F$74,B48),0)</f>
        <v>0</v>
      </c>
      <c r="AN48" s="17" t="n">
        <f aca="false">AI48-AM48</f>
        <v>-3857359.48141666</v>
      </c>
      <c r="AO48" s="26" t="n">
        <f aca="false">1/(1+Допущения!$C$74)^A48</f>
        <v>0.490392636138581</v>
      </c>
      <c r="AP48" s="21" t="str">
        <f aca="false">IF(AND(A48&gt;Допущения!$C$19,MIN(AI48:AI$65)&gt;0),A48,"")</f>
        <v/>
      </c>
      <c r="AQ48" s="21" t="str">
        <f aca="false">IF(MIN(AJ48:AJ$65)&gt;0,A48,"")</f>
        <v/>
      </c>
    </row>
    <row r="49" customFormat="false" ht="15" hidden="false" customHeight="false" outlineLevel="0" collapsed="false">
      <c r="A49" s="28" t="n">
        <v>44</v>
      </c>
      <c r="B49" s="28" t="n">
        <f aca="false">INT((A49-1)/12)+1</f>
        <v>4</v>
      </c>
      <c r="C49" s="12" t="s">
        <v>462</v>
      </c>
      <c r="D49" s="15" t="n">
        <f aca="false">(1+Допущения!$C$11)^(B49-1)</f>
        <v>1.259712</v>
      </c>
      <c r="E49" s="15" t="n">
        <f aca="false">(1+Допущения!$C$12)^(B49-1)</f>
        <v>1.225043</v>
      </c>
      <c r="F49" s="17" t="n">
        <f aca="false">Допущения!$C$71*E49</f>
        <v>3341.28028164</v>
      </c>
      <c r="G49" s="17" t="n">
        <f aca="false">MIN(G48*(1+Допущения!$C$33),Допущения!$C$34)</f>
        <v>2500000</v>
      </c>
      <c r="H49" s="25" t="n">
        <f aca="false">MIN(Допущения!$C$30,G49/Допущения!$C$29)</f>
        <v>200</v>
      </c>
      <c r="I49" s="25" t="n">
        <f aca="false">MAX(0,G49-H49*Допущения!$C$29)/Допущения!$C$31</f>
        <v>293.333333333333</v>
      </c>
      <c r="J49" s="25" t="n">
        <f aca="false">IF(A49&gt;=Допущения!$C$35,Допущения!$C$36,0)</f>
        <v>20</v>
      </c>
      <c r="K49" s="25" t="n">
        <f aca="false">H49+I49+J49</f>
        <v>513.333333333333</v>
      </c>
      <c r="L49" s="25" t="n">
        <f aca="false">(L48-K48)*(1-Допущения!$C$44)+K48*(1-Допущения!$C$43)+K49</f>
        <v>4275.80654886724</v>
      </c>
      <c r="M49" s="25" t="n">
        <f aca="false">IF(A49&gt;=Допущения!$C$38,Допущения!$C$73/Допущения!$C$42*MIN(Допущения!$C$42,A49-Допущения!$C$38+1),0)</f>
        <v>20</v>
      </c>
      <c r="N49" s="25" t="n">
        <f aca="false">N48*(1-Допущения!$C$45)+M49</f>
        <v>526.386705941303</v>
      </c>
      <c r="O49" s="25" t="n">
        <f aca="false">L49+N49</f>
        <v>4802.19325480854</v>
      </c>
      <c r="P49" s="25" t="n">
        <f aca="false">L49*Допущения!$C$25</f>
        <v>641.370982330086</v>
      </c>
      <c r="Q49" s="25" t="n">
        <f aca="false">L49*(1-Допущения!$C$25)+N49</f>
        <v>4160.82227247846</v>
      </c>
      <c r="R49" s="17" t="n">
        <f aca="false">MAX(Допущения!$C$18,ROUNDUP(Q49/Допущения!$C$68+P49/Допущения!$C$69,0))</f>
        <v>59</v>
      </c>
      <c r="S49" s="17" t="n">
        <f aca="false">ROUNDUP(R49/Допущения!$C$48,0)</f>
        <v>5</v>
      </c>
      <c r="T49" s="17" t="n">
        <f aca="false">L49*F49/(1+Допущения!$C$6)</f>
        <v>11710383.6965879</v>
      </c>
      <c r="U49" s="17" t="n">
        <f aca="false">N49*Допущения!$C$28*E49/(1+Допущения!$C$6)</f>
        <v>1051839.53714659</v>
      </c>
      <c r="V49" s="17" t="n">
        <f aca="false">O49*Допущения!$C$26*Допущения!$C$27/(1+Допущения!$C$6)</f>
        <v>590433.59690269</v>
      </c>
      <c r="W49" s="17" t="n">
        <f aca="false">T49+U49+V49</f>
        <v>13352656.8306372</v>
      </c>
      <c r="X49" s="17" t="n">
        <f aca="false">J49*Допущения!$C$37</f>
        <v>10000</v>
      </c>
      <c r="Y49" s="17" t="n">
        <f aca="false">(R49*Допущения!$C$47+S49*Допущения!$C$49)*D49*Допущения!$C$9</f>
        <v>8643564.27648</v>
      </c>
      <c r="Z49" s="17" t="n">
        <f aca="false">(MAX(0,R49-R48)+R49*Допущения!$C$50/12)*Допущения!$C$51*D49</f>
        <v>218245.104</v>
      </c>
      <c r="AA49" s="17" t="n">
        <f aca="false">O49*(Допущения!$C$53+Допущения!$C$54)+(L49*F49+N49*Допущения!$C$28*E49)*Допущения!$C$13</f>
        <v>2033058.96021793</v>
      </c>
      <c r="AB49" s="17" t="n">
        <f aca="false">(R49+S49)*Допущения!$C$52</f>
        <v>172800</v>
      </c>
      <c r="AC49" s="17" t="n">
        <f aca="false">SUMPRODUCT(Допущения!$B$84:$B$91,Допущения!$C$84:$C$91,--(Допущения!$D$84:$D$91&lt;=A49))*D49*Допущения!$C$9</f>
        <v>2476618.98624</v>
      </c>
      <c r="AD49" s="17" t="n">
        <f aca="false">(AC49+Y49)*Допущения!$C$14</f>
        <v>1112018.326272</v>
      </c>
      <c r="AE49" s="17" t="n">
        <f aca="false">Допущения!$C$55+Допущения!$C$56*O49/1000+Допущения!$C$57</f>
        <v>178417.546038468</v>
      </c>
      <c r="AF49" s="17" t="n">
        <f aca="false">SUMIF(Допущения!$B$95:$B$103,A49,Допущения!$C$95:$C$103)</f>
        <v>0</v>
      </c>
      <c r="AG49" s="17" t="n">
        <v>0</v>
      </c>
      <c r="AH49" s="17" t="n">
        <f aca="false">G49+SUM(X49:AG49)</f>
        <v>17344723.1992484</v>
      </c>
      <c r="AI49" s="17" t="n">
        <f aca="false">W49-AH49</f>
        <v>-3992066.36861119</v>
      </c>
      <c r="AJ49" s="17" t="n">
        <f aca="false">AJ48+AI49</f>
        <v>-156165585.791367</v>
      </c>
      <c r="AK49" s="17" t="n">
        <f aca="false">O49*Допущения!$C$58*Допущения!$C$59</f>
        <v>79236.1887043409</v>
      </c>
      <c r="AL49" s="17" t="n">
        <f aca="false">T49*Допущения!$C$72</f>
        <v>590439.514113677</v>
      </c>
      <c r="AM49" s="17" t="n">
        <f aca="false">IF(MOD(A49,12)=0,INDEX($F$70:$F$74,B49),0)</f>
        <v>0</v>
      </c>
      <c r="AN49" s="17" t="n">
        <f aca="false">AI49-AM49</f>
        <v>-3992066.36861119</v>
      </c>
      <c r="AO49" s="26" t="n">
        <f aca="false">1/(1+Допущения!$C$74)^A49</f>
        <v>0.482333345690631</v>
      </c>
      <c r="AP49" s="21" t="str">
        <f aca="false">IF(AND(A49&gt;Допущения!$C$19,MIN(AI49:AI$65)&gt;0),A49,"")</f>
        <v/>
      </c>
      <c r="AQ49" s="21" t="str">
        <f aca="false">IF(MIN(AJ49:AJ$65)&gt;0,A49,"")</f>
        <v/>
      </c>
    </row>
    <row r="50" customFormat="false" ht="15" hidden="false" customHeight="false" outlineLevel="0" collapsed="false">
      <c r="A50" s="28" t="n">
        <v>45</v>
      </c>
      <c r="B50" s="28" t="n">
        <f aca="false">INT((A50-1)/12)+1</f>
        <v>4</v>
      </c>
      <c r="C50" s="12" t="s">
        <v>462</v>
      </c>
      <c r="D50" s="15" t="n">
        <f aca="false">(1+Допущения!$C$11)^(B50-1)</f>
        <v>1.259712</v>
      </c>
      <c r="E50" s="15" t="n">
        <f aca="false">(1+Допущения!$C$12)^(B50-1)</f>
        <v>1.225043</v>
      </c>
      <c r="F50" s="17" t="n">
        <f aca="false">Допущения!$C$71*E50</f>
        <v>3341.28028164</v>
      </c>
      <c r="G50" s="17" t="n">
        <f aca="false">MIN(G49*(1+Допущения!$C$33),Допущения!$C$34)</f>
        <v>2500000</v>
      </c>
      <c r="H50" s="25" t="n">
        <f aca="false">MIN(Допущения!$C$30,G50/Допущения!$C$29)</f>
        <v>200</v>
      </c>
      <c r="I50" s="25" t="n">
        <f aca="false">MAX(0,G50-H50*Допущения!$C$29)/Допущения!$C$31</f>
        <v>293.333333333333</v>
      </c>
      <c r="J50" s="25" t="n">
        <f aca="false">IF(A50&gt;=Допущения!$C$35,Допущения!$C$36,0)</f>
        <v>20</v>
      </c>
      <c r="K50" s="25" t="n">
        <f aca="false">H50+I50+J50</f>
        <v>513.333333333333</v>
      </c>
      <c r="L50" s="25" t="n">
        <f aca="false">(L49-K49)*(1-Допущения!$C$44)+K49*(1-Допущения!$C$43)+K50</f>
        <v>4308.47535829119</v>
      </c>
      <c r="M50" s="25" t="n">
        <f aca="false">IF(A50&gt;=Допущения!$C$38,Допущения!$C$73/Допущения!$C$42*MIN(Допущения!$C$42,A50-Допущения!$C$38+1),0)</f>
        <v>20</v>
      </c>
      <c r="N50" s="25" t="n">
        <f aca="false">N49*(1-Допущения!$C$45)+M50</f>
        <v>535.858971822477</v>
      </c>
      <c r="O50" s="25" t="n">
        <f aca="false">L50+N50</f>
        <v>4844.33433011367</v>
      </c>
      <c r="P50" s="25" t="n">
        <f aca="false">L50*Допущения!$C$25</f>
        <v>646.271303743679</v>
      </c>
      <c r="Q50" s="25" t="n">
        <f aca="false">L50*(1-Допущения!$C$25)+N50</f>
        <v>4198.06302636999</v>
      </c>
      <c r="R50" s="17" t="n">
        <f aca="false">MAX(Допущения!$C$18,ROUNDUP(Q50/Допущения!$C$68+P50/Допущения!$C$69,0))</f>
        <v>59</v>
      </c>
      <c r="S50" s="17" t="n">
        <f aca="false">ROUNDUP(R50/Допущения!$C$48,0)</f>
        <v>5</v>
      </c>
      <c r="T50" s="17" t="n">
        <f aca="false">L50*F50/(1+Допущения!$C$6)</f>
        <v>11799855.539828</v>
      </c>
      <c r="U50" s="17" t="n">
        <f aca="false">N50*Допущения!$C$28*E50/(1+Допущения!$C$6)</f>
        <v>1070767.26394464</v>
      </c>
      <c r="V50" s="17" t="n">
        <f aca="false">O50*Допущения!$C$26*Допущения!$C$27/(1+Допущения!$C$6)</f>
        <v>595614.87665332</v>
      </c>
      <c r="W50" s="17" t="n">
        <f aca="false">T50+U50+V50</f>
        <v>13466237.680426</v>
      </c>
      <c r="X50" s="17" t="n">
        <f aca="false">J50*Допущения!$C$37</f>
        <v>10000</v>
      </c>
      <c r="Y50" s="17" t="n">
        <f aca="false">(R50*Допущения!$C$47+S50*Допущения!$C$49)*D50*Допущения!$C$9</f>
        <v>8643564.27648</v>
      </c>
      <c r="Z50" s="17" t="n">
        <f aca="false">(MAX(0,R50-R49)+R50*Допущения!$C$50/12)*Допущения!$C$51*D50</f>
        <v>130065.264</v>
      </c>
      <c r="AA50" s="17" t="n">
        <f aca="false">O50*(Допущения!$C$53+Допущения!$C$54)+(L50*F50+N50*Допущения!$C$28*E50)*Допущения!$C$13</f>
        <v>2050820.90726234</v>
      </c>
      <c r="AB50" s="17" t="n">
        <f aca="false">(R50+S50)*Допущения!$C$52</f>
        <v>172800</v>
      </c>
      <c r="AC50" s="17" t="n">
        <f aca="false">SUMPRODUCT(Допущения!$B$84:$B$91,Допущения!$C$84:$C$91,--(Допущения!$D$84:$D$91&lt;=A50))*D50*Допущения!$C$9</f>
        <v>2476618.98624</v>
      </c>
      <c r="AD50" s="17" t="n">
        <f aca="false">(AC50+Y50)*Допущения!$C$14</f>
        <v>1112018.326272</v>
      </c>
      <c r="AE50" s="17" t="n">
        <f aca="false">Допущения!$C$55+Допущения!$C$56*O50/1000+Допущения!$C$57</f>
        <v>178754.674640909</v>
      </c>
      <c r="AF50" s="17" t="n">
        <f aca="false">SUMIF(Допущения!$B$95:$B$103,A50,Допущения!$C$95:$C$103)</f>
        <v>0</v>
      </c>
      <c r="AG50" s="17" t="n">
        <v>0</v>
      </c>
      <c r="AH50" s="17" t="n">
        <f aca="false">G50+SUM(X50:AG50)</f>
        <v>17274642.4348952</v>
      </c>
      <c r="AI50" s="17" t="n">
        <f aca="false">W50-AH50</f>
        <v>-3808404.75446926</v>
      </c>
      <c r="AJ50" s="17" t="n">
        <f aca="false">AJ49+AI50</f>
        <v>-159973990.545836</v>
      </c>
      <c r="AK50" s="17" t="n">
        <f aca="false">O50*Допущения!$C$58*Допущения!$C$59</f>
        <v>79931.5164468755</v>
      </c>
      <c r="AL50" s="17" t="n">
        <f aca="false">T50*Допущения!$C$72</f>
        <v>594950.699487128</v>
      </c>
      <c r="AM50" s="17" t="n">
        <f aca="false">IF(MOD(A50,12)=0,INDEX($F$70:$F$74,B50),0)</f>
        <v>0</v>
      </c>
      <c r="AN50" s="17" t="n">
        <f aca="false">AI50-AM50</f>
        <v>-3808404.75446926</v>
      </c>
      <c r="AO50" s="26" t="n">
        <f aca="false">1/(1+Допущения!$C$74)^A50</f>
        <v>0.474406504545011</v>
      </c>
      <c r="AP50" s="21" t="str">
        <f aca="false">IF(AND(A50&gt;Допущения!$C$19,MIN(AI50:AI$65)&gt;0),A50,"")</f>
        <v/>
      </c>
      <c r="AQ50" s="21" t="str">
        <f aca="false">IF(MIN(AJ50:AJ$65)&gt;0,A50,"")</f>
        <v/>
      </c>
    </row>
    <row r="51" customFormat="false" ht="15" hidden="false" customHeight="false" outlineLevel="0" collapsed="false">
      <c r="A51" s="28" t="n">
        <v>46</v>
      </c>
      <c r="B51" s="28" t="n">
        <f aca="false">INT((A51-1)/12)+1</f>
        <v>4</v>
      </c>
      <c r="C51" s="12" t="s">
        <v>462</v>
      </c>
      <c r="D51" s="15" t="n">
        <f aca="false">(1+Допущения!$C$11)^(B51-1)</f>
        <v>1.259712</v>
      </c>
      <c r="E51" s="15" t="n">
        <f aca="false">(1+Допущения!$C$12)^(B51-1)</f>
        <v>1.225043</v>
      </c>
      <c r="F51" s="17" t="n">
        <f aca="false">Допущения!$C$71*E51</f>
        <v>3341.28028164</v>
      </c>
      <c r="G51" s="17" t="n">
        <f aca="false">MIN(G50*(1+Допущения!$C$33),Допущения!$C$34)</f>
        <v>2500000</v>
      </c>
      <c r="H51" s="25" t="n">
        <f aca="false">MIN(Допущения!$C$30,G51/Допущения!$C$29)</f>
        <v>200</v>
      </c>
      <c r="I51" s="25" t="n">
        <f aca="false">MAX(0,G51-H51*Допущения!$C$29)/Допущения!$C$31</f>
        <v>293.333333333333</v>
      </c>
      <c r="J51" s="25" t="n">
        <f aca="false">IF(A51&gt;=Допущения!$C$35,Допущения!$C$36,0)</f>
        <v>20</v>
      </c>
      <c r="K51" s="25" t="n">
        <f aca="false">H51+I51+J51</f>
        <v>513.333333333333</v>
      </c>
      <c r="L51" s="25" t="n">
        <f aca="false">(L50-K50)*(1-Допущения!$C$44)+K50*(1-Допущения!$C$43)+K51</f>
        <v>4338.53066296123</v>
      </c>
      <c r="M51" s="25" t="n">
        <f aca="false">IF(A51&gt;=Допущения!$C$38,Допущения!$C$73/Допущения!$C$42*MIN(Допущения!$C$42,A51-Допущения!$C$38+1),0)</f>
        <v>20</v>
      </c>
      <c r="N51" s="25" t="n">
        <f aca="false">N50*(1-Допущения!$C$45)+M51</f>
        <v>545.141792386028</v>
      </c>
      <c r="O51" s="25" t="n">
        <f aca="false">L51+N51</f>
        <v>4883.67245534726</v>
      </c>
      <c r="P51" s="25" t="n">
        <f aca="false">L51*Допущения!$C$25</f>
        <v>650.779599444184</v>
      </c>
      <c r="Q51" s="25" t="n">
        <f aca="false">L51*(1-Допущения!$C$25)+N51</f>
        <v>4232.89285590307</v>
      </c>
      <c r="R51" s="17" t="n">
        <f aca="false">MAX(Допущения!$C$18,ROUNDUP(Q51/Допущения!$C$68+P51/Допущения!$C$69,0))</f>
        <v>60</v>
      </c>
      <c r="S51" s="17" t="n">
        <f aca="false">ROUNDUP(R51/Допущения!$C$48,0)</f>
        <v>5</v>
      </c>
      <c r="T51" s="17" t="n">
        <f aca="false">L51*F51/(1+Допущения!$C$6)</f>
        <v>11882169.6356089</v>
      </c>
      <c r="U51" s="17" t="n">
        <f aca="false">N51*Допущения!$C$28*E51/(1+Допущения!$C$6)</f>
        <v>1089316.43620673</v>
      </c>
      <c r="V51" s="17" t="n">
        <f aca="false">O51*Допущения!$C$26*Допущения!$C$27/(1+Допущения!$C$6)</f>
        <v>600451.531395155</v>
      </c>
      <c r="W51" s="17" t="n">
        <f aca="false">T51+U51+V51</f>
        <v>13571937.6032108</v>
      </c>
      <c r="X51" s="17" t="n">
        <f aca="false">J51*Допущения!$C$37</f>
        <v>10000</v>
      </c>
      <c r="Y51" s="17" t="n">
        <f aca="false">(R51*Допущения!$C$47+S51*Допущения!$C$49)*D51*Допущения!$C$9</f>
        <v>8774775.8784</v>
      </c>
      <c r="Z51" s="17" t="n">
        <f aca="false">(MAX(0,R51-R50)+R51*Допущения!$C$50/12)*Допущения!$C$51*D51</f>
        <v>220449.6</v>
      </c>
      <c r="AA51" s="17" t="n">
        <f aca="false">O51*(Допущения!$C$53+Допущения!$C$54)+(L51*F51+N51*Допущения!$C$28*E51)*Допущения!$C$13</f>
        <v>2067394.28033882</v>
      </c>
      <c r="AB51" s="17" t="n">
        <f aca="false">(R51+S51)*Допущения!$C$52</f>
        <v>175500</v>
      </c>
      <c r="AC51" s="17" t="n">
        <f aca="false">SUMPRODUCT(Допущения!$B$84:$B$91,Допущения!$C$84:$C$91,--(Допущения!$D$84:$D$91&lt;=A51))*D51*Допущения!$C$9</f>
        <v>2476618.98624</v>
      </c>
      <c r="AD51" s="17" t="n">
        <f aca="false">(AC51+Y51)*Допущения!$C$14</f>
        <v>1125139.486464</v>
      </c>
      <c r="AE51" s="17" t="n">
        <f aca="false">Допущения!$C$55+Допущения!$C$56*O51/1000+Допущения!$C$57</f>
        <v>179069.379642778</v>
      </c>
      <c r="AF51" s="17" t="n">
        <f aca="false">SUMIF(Допущения!$B$95:$B$103,A51,Допущения!$C$95:$C$103)</f>
        <v>0</v>
      </c>
      <c r="AG51" s="17" t="n">
        <v>0</v>
      </c>
      <c r="AH51" s="17" t="n">
        <f aca="false">G51+SUM(X51:AG51)</f>
        <v>17528947.6110856</v>
      </c>
      <c r="AI51" s="17" t="n">
        <f aca="false">W51-AH51</f>
        <v>-3957010.0078748</v>
      </c>
      <c r="AJ51" s="17" t="n">
        <f aca="false">AJ50+AI51</f>
        <v>-163931000.553711</v>
      </c>
      <c r="AK51" s="17" t="n">
        <f aca="false">O51*Допущения!$C$58*Допущения!$C$59</f>
        <v>80580.5955132298</v>
      </c>
      <c r="AL51" s="17" t="n">
        <f aca="false">T51*Допущения!$C$72</f>
        <v>599100.990030702</v>
      </c>
      <c r="AM51" s="17" t="n">
        <f aca="false">IF(MOD(A51,12)=0,INDEX($F$70:$F$74,B51),0)</f>
        <v>0</v>
      </c>
      <c r="AN51" s="17" t="n">
        <f aca="false">AI51-AM51</f>
        <v>-3957010.0078748</v>
      </c>
      <c r="AO51" s="26" t="n">
        <f aca="false">1/(1+Допущения!$C$74)^A51</f>
        <v>0.466609935981848</v>
      </c>
      <c r="AP51" s="21" t="str">
        <f aca="false">IF(AND(A51&gt;Допущения!$C$19,MIN(AI51:AI$65)&gt;0),A51,"")</f>
        <v/>
      </c>
      <c r="AQ51" s="21" t="str">
        <f aca="false">IF(MIN(AJ51:AJ$65)&gt;0,A51,"")</f>
        <v/>
      </c>
    </row>
    <row r="52" customFormat="false" ht="15" hidden="false" customHeight="false" outlineLevel="0" collapsed="false">
      <c r="A52" s="28" t="n">
        <v>47</v>
      </c>
      <c r="B52" s="28" t="n">
        <f aca="false">INT((A52-1)/12)+1</f>
        <v>4</v>
      </c>
      <c r="C52" s="12" t="s">
        <v>462</v>
      </c>
      <c r="D52" s="15" t="n">
        <f aca="false">(1+Допущения!$C$11)^(B52-1)</f>
        <v>1.259712</v>
      </c>
      <c r="E52" s="15" t="n">
        <f aca="false">(1+Допущения!$C$12)^(B52-1)</f>
        <v>1.225043</v>
      </c>
      <c r="F52" s="17" t="n">
        <f aca="false">Допущения!$C$71*E52</f>
        <v>3341.28028164</v>
      </c>
      <c r="G52" s="17" t="n">
        <f aca="false">MIN(G51*(1+Допущения!$C$33),Допущения!$C$34)</f>
        <v>2500000</v>
      </c>
      <c r="H52" s="25" t="n">
        <f aca="false">MIN(Допущения!$C$30,G52/Допущения!$C$29)</f>
        <v>200</v>
      </c>
      <c r="I52" s="25" t="n">
        <f aca="false">MAX(0,G52-H52*Допущения!$C$29)/Допущения!$C$31</f>
        <v>293.333333333333</v>
      </c>
      <c r="J52" s="25" t="n">
        <f aca="false">IF(A52&gt;=Допущения!$C$35,Допущения!$C$36,0)</f>
        <v>20</v>
      </c>
      <c r="K52" s="25" t="n">
        <f aca="false">H52+I52+J52</f>
        <v>513.333333333333</v>
      </c>
      <c r="L52" s="25" t="n">
        <f aca="false">(L51-K51)*(1-Допущения!$C$44)+K51*(1-Допущения!$C$43)+K52</f>
        <v>4366.18154325767</v>
      </c>
      <c r="M52" s="25" t="n">
        <f aca="false">IF(A52&gt;=Допущения!$C$38,Допущения!$C$73/Допущения!$C$42*MIN(Допущения!$C$42,A52-Допущения!$C$38+1),0)</f>
        <v>20</v>
      </c>
      <c r="N52" s="25" t="n">
        <f aca="false">N51*(1-Допущения!$C$45)+M52</f>
        <v>554.238956538307</v>
      </c>
      <c r="O52" s="25" t="n">
        <f aca="false">L52+N52</f>
        <v>4920.42049979597</v>
      </c>
      <c r="P52" s="25" t="n">
        <f aca="false">L52*Допущения!$C$25</f>
        <v>654.92723148865</v>
      </c>
      <c r="Q52" s="25" t="n">
        <f aca="false">L52*(1-Допущения!$C$25)+N52</f>
        <v>4265.49326830732</v>
      </c>
      <c r="R52" s="17" t="n">
        <f aca="false">MAX(Допущения!$C$18,ROUNDUP(Q52/Допущения!$C$68+P52/Допущения!$C$69,0))</f>
        <v>60</v>
      </c>
      <c r="S52" s="17" t="n">
        <f aca="false">ROUNDUP(R52/Допущения!$C$48,0)</f>
        <v>5</v>
      </c>
      <c r="T52" s="17" t="n">
        <f aca="false">L52*F52/(1+Допущения!$C$6)</f>
        <v>11957898.6037273</v>
      </c>
      <c r="U52" s="17" t="n">
        <f aca="false">N52*Допущения!$C$28*E52/(1+Допущения!$C$6)</f>
        <v>1107494.62502358</v>
      </c>
      <c r="V52" s="17" t="n">
        <f aca="false">O52*Допущения!$C$26*Допущения!$C$27/(1+Допущения!$C$6)</f>
        <v>604969.733581472</v>
      </c>
      <c r="W52" s="17" t="n">
        <f aca="false">T52+U52+V52</f>
        <v>13670362.9623324</v>
      </c>
      <c r="X52" s="17" t="n">
        <f aca="false">J52*Допущения!$C$37</f>
        <v>10000</v>
      </c>
      <c r="Y52" s="17" t="n">
        <f aca="false">(R52*Допущения!$C$47+S52*Допущения!$C$49)*D52*Допущения!$C$9</f>
        <v>8774775.8784</v>
      </c>
      <c r="Z52" s="17" t="n">
        <f aca="false">(MAX(0,R52-R51)+R52*Допущения!$C$50/12)*Допущения!$C$51*D52</f>
        <v>132269.76</v>
      </c>
      <c r="AA52" s="17" t="n">
        <f aca="false">O52*(Допущения!$C$53+Допущения!$C$54)+(L52*F52+N52*Допущения!$C$28*E52)*Допущения!$C$13</f>
        <v>2082869.5177289</v>
      </c>
      <c r="AB52" s="17" t="n">
        <f aca="false">(R52+S52)*Допущения!$C$52</f>
        <v>175500</v>
      </c>
      <c r="AC52" s="17" t="n">
        <f aca="false">SUMPRODUCT(Допущения!$B$84:$B$91,Допущения!$C$84:$C$91,--(Допущения!$D$84:$D$91&lt;=A52))*D52*Допущения!$C$9</f>
        <v>2476618.98624</v>
      </c>
      <c r="AD52" s="17" t="n">
        <f aca="false">(AC52+Y52)*Допущения!$C$14</f>
        <v>1125139.486464</v>
      </c>
      <c r="AE52" s="17" t="n">
        <f aca="false">Допущения!$C$55+Допущения!$C$56*O52/1000+Допущения!$C$57</f>
        <v>179363.363998368</v>
      </c>
      <c r="AF52" s="17" t="n">
        <f aca="false">SUMIF(Допущения!$B$95:$B$103,A52,Допущения!$C$95:$C$103)</f>
        <v>0</v>
      </c>
      <c r="AG52" s="17" t="n">
        <v>0</v>
      </c>
      <c r="AH52" s="17" t="n">
        <f aca="false">G52+SUM(X52:AG52)</f>
        <v>17456536.9928313</v>
      </c>
      <c r="AI52" s="17" t="n">
        <f aca="false">W52-AH52</f>
        <v>-3786174.03049888</v>
      </c>
      <c r="AJ52" s="17" t="n">
        <f aca="false">AJ51+AI52</f>
        <v>-167717174.58421</v>
      </c>
      <c r="AK52" s="17" t="n">
        <f aca="false">O52*Допущения!$C$58*Допущения!$C$59</f>
        <v>81186.9382466335</v>
      </c>
      <c r="AL52" s="17" t="n">
        <f aca="false">T52*Допущения!$C$72</f>
        <v>602919.25733079</v>
      </c>
      <c r="AM52" s="17" t="n">
        <f aca="false">IF(MOD(A52,12)=0,INDEX($F$70:$F$74,B52),0)</f>
        <v>0</v>
      </c>
      <c r="AN52" s="17" t="n">
        <f aca="false">AI52-AM52</f>
        <v>-3786174.03049888</v>
      </c>
      <c r="AO52" s="26" t="n">
        <f aca="false">1/(1+Допущения!$C$74)^A52</f>
        <v>0.458941499054271</v>
      </c>
      <c r="AP52" s="21" t="str">
        <f aca="false">IF(AND(A52&gt;Допущения!$C$19,MIN(AI52:AI$65)&gt;0),A52,"")</f>
        <v/>
      </c>
      <c r="AQ52" s="21" t="str">
        <f aca="false">IF(MIN(AJ52:AJ$65)&gt;0,A52,"")</f>
        <v/>
      </c>
    </row>
    <row r="53" customFormat="false" ht="15" hidden="false" customHeight="false" outlineLevel="0" collapsed="false">
      <c r="A53" s="28" t="n">
        <v>48</v>
      </c>
      <c r="B53" s="28" t="n">
        <f aca="false">INT((A53-1)/12)+1</f>
        <v>4</v>
      </c>
      <c r="C53" s="12" t="s">
        <v>462</v>
      </c>
      <c r="D53" s="15" t="n">
        <f aca="false">(1+Допущения!$C$11)^(B53-1)</f>
        <v>1.259712</v>
      </c>
      <c r="E53" s="15" t="n">
        <f aca="false">(1+Допущения!$C$12)^(B53-1)</f>
        <v>1.225043</v>
      </c>
      <c r="F53" s="17" t="n">
        <f aca="false">Допущения!$C$71*E53</f>
        <v>3341.28028164</v>
      </c>
      <c r="G53" s="17" t="n">
        <f aca="false">MIN(G52*(1+Допущения!$C$33),Допущения!$C$34)</f>
        <v>2500000</v>
      </c>
      <c r="H53" s="25" t="n">
        <f aca="false">MIN(Допущения!$C$30,G53/Допущения!$C$29)</f>
        <v>200</v>
      </c>
      <c r="I53" s="25" t="n">
        <f aca="false">MAX(0,G53-H53*Допущения!$C$29)/Допущения!$C$31</f>
        <v>293.333333333333</v>
      </c>
      <c r="J53" s="25" t="n">
        <f aca="false">IF(A53&gt;=Допущения!$C$35,Допущения!$C$36,0)</f>
        <v>20</v>
      </c>
      <c r="K53" s="25" t="n">
        <f aca="false">H53+I53+J53</f>
        <v>513.333333333333</v>
      </c>
      <c r="L53" s="25" t="n">
        <f aca="false">(L52-K52)*(1-Допущения!$C$44)+K52*(1-Допущения!$C$43)+K53</f>
        <v>4391.62035313039</v>
      </c>
      <c r="M53" s="25" t="n">
        <f aca="false">IF(A53&gt;=Допущения!$C$38,Допущения!$C$73/Допущения!$C$42*MIN(Допущения!$C$42,A53-Допущения!$C$38+1),0)</f>
        <v>20</v>
      </c>
      <c r="N53" s="25" t="n">
        <f aca="false">N52*(1-Допущения!$C$45)+M53</f>
        <v>563.154177407541</v>
      </c>
      <c r="O53" s="25" t="n">
        <f aca="false">L53+N53</f>
        <v>4954.77453053793</v>
      </c>
      <c r="P53" s="25" t="n">
        <f aca="false">L53*Допущения!$C$25</f>
        <v>658.743052969558</v>
      </c>
      <c r="Q53" s="25" t="n">
        <f aca="false">L53*(1-Допущения!$C$25)+N53</f>
        <v>4296.03147756837</v>
      </c>
      <c r="R53" s="17" t="n">
        <f aca="false">MAX(Допущения!$C$18,ROUNDUP(Q53/Допущения!$C$68+P53/Допущения!$C$69,0))</f>
        <v>61</v>
      </c>
      <c r="S53" s="17" t="n">
        <f aca="false">ROUNDUP(R53/Допущения!$C$48,0)</f>
        <v>6</v>
      </c>
      <c r="T53" s="17" t="n">
        <f aca="false">L53*F53/(1+Допущения!$C$6)</f>
        <v>12027569.2543963</v>
      </c>
      <c r="U53" s="17" t="n">
        <f aca="false">N53*Допущения!$C$28*E53/(1+Допущения!$C$6)</f>
        <v>1125309.25006409</v>
      </c>
      <c r="V53" s="17" t="n">
        <f aca="false">O53*Допущения!$C$26*Допущения!$C$27/(1+Допущения!$C$6)</f>
        <v>609193.589820237</v>
      </c>
      <c r="W53" s="17" t="n">
        <f aca="false">T53+U53+V53</f>
        <v>13762072.0942806</v>
      </c>
      <c r="X53" s="17" t="n">
        <f aca="false">J53*Допущения!$C$37</f>
        <v>10000</v>
      </c>
      <c r="Y53" s="17" t="n">
        <f aca="false">(R53*Допущения!$C$47+S53*Допущения!$C$49)*D53*Допущения!$C$9</f>
        <v>9086403.43296</v>
      </c>
      <c r="Z53" s="17" t="n">
        <f aca="false">(MAX(0,R53-R52)+R53*Допущения!$C$50/12)*Допущения!$C$51*D53</f>
        <v>222654.096</v>
      </c>
      <c r="AA53" s="17" t="n">
        <f aca="false">O53*(Допущения!$C$53+Допущения!$C$54)+(L53*F53+N53*Допущения!$C$28*E53)*Допущения!$C$13</f>
        <v>2097329.91560429</v>
      </c>
      <c r="AB53" s="17" t="n">
        <f aca="false">(R53+S53)*Допущения!$C$52</f>
        <v>180900</v>
      </c>
      <c r="AC53" s="17" t="n">
        <f aca="false">SUMPRODUCT(Допущения!$B$84:$B$91,Допущения!$C$84:$C$91,--(Допущения!$D$84:$D$91&lt;=A53))*D53*Допущения!$C$9</f>
        <v>2476618.98624</v>
      </c>
      <c r="AD53" s="17" t="n">
        <f aca="false">(AC53+Y53)*Допущения!$C$14</f>
        <v>1156302.24192</v>
      </c>
      <c r="AE53" s="17" t="n">
        <f aca="false">Допущения!$C$55+Допущения!$C$56*O53/1000+Допущения!$C$57</f>
        <v>179638.196244303</v>
      </c>
      <c r="AF53" s="17" t="n">
        <f aca="false">SUMIF(Допущения!$B$95:$B$103,A53,Допущения!$C$95:$C$103)</f>
        <v>0</v>
      </c>
      <c r="AG53" s="17" t="n">
        <v>0</v>
      </c>
      <c r="AH53" s="17" t="n">
        <f aca="false">G53+SUM(X53:AG53)</f>
        <v>17909846.8689686</v>
      </c>
      <c r="AI53" s="17" t="n">
        <f aca="false">W53-AH53</f>
        <v>-4147774.77468799</v>
      </c>
      <c r="AJ53" s="17" t="n">
        <f aca="false">AJ52+AI53</f>
        <v>-171864949.358898</v>
      </c>
      <c r="AK53" s="17" t="n">
        <f aca="false">O53*Допущения!$C$58*Допущения!$C$59</f>
        <v>81753.7797538758</v>
      </c>
      <c r="AL53" s="17" t="n">
        <f aca="false">T53*Допущения!$C$72</f>
        <v>606432.063246871</v>
      </c>
      <c r="AM53" s="17" t="n">
        <f aca="false">IF(MOD(A53,12)=0,INDEX($F$70:$F$74,B53),0)</f>
        <v>0</v>
      </c>
      <c r="AN53" s="17" t="n">
        <f aca="false">AI53-AM53</f>
        <v>-4147774.77468799</v>
      </c>
      <c r="AO53" s="26" t="n">
        <f aca="false">1/(1+Допущения!$C$74)^A53</f>
        <v>0.451399088000507</v>
      </c>
      <c r="AP53" s="21" t="str">
        <f aca="false">IF(AND(A53&gt;Допущения!$C$19,MIN(AI53:AI$65)&gt;0),A53,"")</f>
        <v/>
      </c>
      <c r="AQ53" s="21" t="str">
        <f aca="false">IF(MIN(AJ53:AJ$65)&gt;0,A53,"")</f>
        <v/>
      </c>
    </row>
    <row r="54" customFormat="false" ht="15" hidden="false" customHeight="false" outlineLevel="0" collapsed="false">
      <c r="A54" s="28" t="n">
        <v>49</v>
      </c>
      <c r="B54" s="28" t="n">
        <f aca="false">INT((A54-1)/12)+1</f>
        <v>5</v>
      </c>
      <c r="C54" s="12" t="s">
        <v>462</v>
      </c>
      <c r="D54" s="15" t="n">
        <f aca="false">(1+Допущения!$C$11)^(B54-1)</f>
        <v>1.36048896</v>
      </c>
      <c r="E54" s="15" t="n">
        <f aca="false">(1+Допущения!$C$12)^(B54-1)</f>
        <v>1.31079601</v>
      </c>
      <c r="F54" s="17" t="n">
        <f aca="false">Допущения!$C$71*E54</f>
        <v>3575.1699013548</v>
      </c>
      <c r="G54" s="17" t="n">
        <f aca="false">MIN(G53*(1+Допущения!$C$33),Допущения!$C$34)</f>
        <v>2500000</v>
      </c>
      <c r="H54" s="25" t="n">
        <f aca="false">MIN(Допущения!$C$30,G54/Допущения!$C$29)</f>
        <v>200</v>
      </c>
      <c r="I54" s="25" t="n">
        <f aca="false">MAX(0,G54-H54*Допущения!$C$29)/Допущения!$C$31</f>
        <v>293.333333333333</v>
      </c>
      <c r="J54" s="25" t="n">
        <f aca="false">IF(A54&gt;=Допущения!$C$35,Допущения!$C$36,0)</f>
        <v>20</v>
      </c>
      <c r="K54" s="25" t="n">
        <f aca="false">H54+I54+J54</f>
        <v>513.333333333333</v>
      </c>
      <c r="L54" s="25" t="n">
        <f aca="false">(L53-K53)*(1-Допущения!$C$44)+K53*(1-Допущения!$C$43)+K54</f>
        <v>4415.02405821329</v>
      </c>
      <c r="M54" s="25" t="n">
        <f aca="false">IF(A54&gt;=Допущения!$C$38,Допущения!$C$73/Допущения!$C$42*MIN(Допущения!$C$42,A54-Допущения!$C$38+1),0)</f>
        <v>20</v>
      </c>
      <c r="N54" s="25" t="n">
        <f aca="false">N53*(1-Допущения!$C$45)+M54</f>
        <v>571.89109385939</v>
      </c>
      <c r="O54" s="25" t="n">
        <f aca="false">L54+N54</f>
        <v>4986.91515207268</v>
      </c>
      <c r="P54" s="25" t="n">
        <f aca="false">L54*Допущения!$C$25</f>
        <v>662.253608731993</v>
      </c>
      <c r="Q54" s="25" t="n">
        <f aca="false">L54*(1-Допущения!$C$25)+N54</f>
        <v>4324.66154334069</v>
      </c>
      <c r="R54" s="17" t="n">
        <f aca="false">MAX(Допущения!$C$18,ROUNDUP(Q54/Допущения!$C$68+P54/Допущения!$C$69,0))</f>
        <v>61</v>
      </c>
      <c r="S54" s="17" t="n">
        <f aca="false">ROUNDUP(R54/Допущения!$C$48,0)</f>
        <v>6</v>
      </c>
      <c r="T54" s="17" t="n">
        <f aca="false">L54*F54/(1+Допущения!$C$6)</f>
        <v>12938082.8907225</v>
      </c>
      <c r="U54" s="17" t="n">
        <f aca="false">N54*Допущения!$C$28*E54/(1+Допущения!$C$6)</f>
        <v>1222761.31338606</v>
      </c>
      <c r="V54" s="17" t="n">
        <f aca="false">O54*Допущения!$C$26*Допущения!$C$27/(1+Допущения!$C$6)</f>
        <v>613145.305582706</v>
      </c>
      <c r="W54" s="17" t="n">
        <f aca="false">T54+U54+V54</f>
        <v>14773989.5096913</v>
      </c>
      <c r="X54" s="17" t="n">
        <f aca="false">J54*Допущения!$C$37</f>
        <v>10000</v>
      </c>
      <c r="Y54" s="17" t="n">
        <f aca="false">(R54*Допущения!$C$47+S54*Допущения!$C$49)*D54*Допущения!$C$9</f>
        <v>9813315.7075968</v>
      </c>
      <c r="Z54" s="17" t="n">
        <f aca="false">(MAX(0,R54-R53)+R54*Допущения!$C$50/12)*Допущения!$C$51*D54</f>
        <v>145232.19648</v>
      </c>
      <c r="AA54" s="17" t="n">
        <f aca="false">O54*(Допущения!$C$53+Допущения!$C$54)+(L54*F54+N54*Допущения!$C$28*E54)*Допущения!$C$13</f>
        <v>2131196.16922875</v>
      </c>
      <c r="AB54" s="17" t="n">
        <f aca="false">(R54+S54)*Допущения!$C$52</f>
        <v>180900</v>
      </c>
      <c r="AC54" s="17" t="n">
        <f aca="false">SUMPRODUCT(Допущения!$B$84:$B$91,Допущения!$C$84:$C$91,--(Допущения!$D$84:$D$91&lt;=A54))*D54*Допущения!$C$9</f>
        <v>2674748.5051392</v>
      </c>
      <c r="AD54" s="17" t="n">
        <f aca="false">(AC54+Y54)*Допущения!$C$14</f>
        <v>1248806.4212736</v>
      </c>
      <c r="AE54" s="17" t="n">
        <f aca="false">Допущения!$C$55+Допущения!$C$56*O54/1000+Допущения!$C$57</f>
        <v>179895.321216581</v>
      </c>
      <c r="AF54" s="17" t="n">
        <f aca="false">SUMIF(Допущения!$B$95:$B$103,A54,Допущения!$C$95:$C$103)</f>
        <v>0</v>
      </c>
      <c r="AG54" s="17" t="n">
        <v>0</v>
      </c>
      <c r="AH54" s="17" t="n">
        <f aca="false">G54+SUM(X54:AG54)</f>
        <v>18884094.3209349</v>
      </c>
      <c r="AI54" s="17" t="n">
        <f aca="false">W54-AH54</f>
        <v>-4110104.81124365</v>
      </c>
      <c r="AJ54" s="17" t="n">
        <f aca="false">AJ53+AI54</f>
        <v>-175975054.170142</v>
      </c>
      <c r="AK54" s="17" t="n">
        <f aca="false">O54*Допущения!$C$58*Допущения!$C$59</f>
        <v>82284.1000091992</v>
      </c>
      <c r="AL54" s="17" t="n">
        <f aca="false">T54*Допущения!$C$72</f>
        <v>652340.313817942</v>
      </c>
      <c r="AM54" s="17" t="n">
        <f aca="false">IF(MOD(A54,12)=0,INDEX($F$70:$F$74,B54),0)</f>
        <v>0</v>
      </c>
      <c r="AN54" s="17" t="n">
        <f aca="false">AI54-AM54</f>
        <v>-4110104.81124365</v>
      </c>
      <c r="AO54" s="26" t="n">
        <f aca="false">1/(1+Допущения!$C$74)^A54</f>
        <v>0.443980631665638</v>
      </c>
      <c r="AP54" s="21" t="str">
        <f aca="false">IF(AND(A54&gt;Допущения!$C$19,MIN(AI54:AI$65)&gt;0),A54,"")</f>
        <v/>
      </c>
      <c r="AQ54" s="21" t="str">
        <f aca="false">IF(MIN(AJ54:AJ$65)&gt;0,A54,"")</f>
        <v/>
      </c>
    </row>
    <row r="55" customFormat="false" ht="15" hidden="false" customHeight="false" outlineLevel="0" collapsed="false">
      <c r="A55" s="28" t="n">
        <v>50</v>
      </c>
      <c r="B55" s="28" t="n">
        <f aca="false">INT((A55-1)/12)+1</f>
        <v>5</v>
      </c>
      <c r="C55" s="12" t="s">
        <v>462</v>
      </c>
      <c r="D55" s="15" t="n">
        <f aca="false">(1+Допущения!$C$11)^(B55-1)</f>
        <v>1.36048896</v>
      </c>
      <c r="E55" s="15" t="n">
        <f aca="false">(1+Допущения!$C$12)^(B55-1)</f>
        <v>1.31079601</v>
      </c>
      <c r="F55" s="17" t="n">
        <f aca="false">Допущения!$C$71*E55</f>
        <v>3575.1699013548</v>
      </c>
      <c r="G55" s="17" t="n">
        <f aca="false">MIN(G54*(1+Допущения!$C$33),Допущения!$C$34)</f>
        <v>2500000</v>
      </c>
      <c r="H55" s="25" t="n">
        <f aca="false">MIN(Допущения!$C$30,G55/Допущения!$C$29)</f>
        <v>200</v>
      </c>
      <c r="I55" s="25" t="n">
        <f aca="false">MAX(0,G55-H55*Допущения!$C$29)/Допущения!$C$31</f>
        <v>293.333333333333</v>
      </c>
      <c r="J55" s="25" t="n">
        <f aca="false">IF(A55&gt;=Допущения!$C$35,Допущения!$C$36,0)</f>
        <v>20</v>
      </c>
      <c r="K55" s="25" t="n">
        <f aca="false">H55+I55+J55</f>
        <v>513.333333333333</v>
      </c>
      <c r="L55" s="25" t="n">
        <f aca="false">(L54-K54)*(1-Допущения!$C$44)+K54*(1-Допущения!$C$43)+K55</f>
        <v>4436.55546688956</v>
      </c>
      <c r="M55" s="25" t="n">
        <f aca="false">IF(A55&gt;=Допущения!$C$38,Допущения!$C$73/Допущения!$C$42*MIN(Допущения!$C$42,A55-Допущения!$C$38+1),0)</f>
        <v>20</v>
      </c>
      <c r="N55" s="25" t="n">
        <f aca="false">N54*(1-Допущения!$C$45)+M55</f>
        <v>580.453271982202</v>
      </c>
      <c r="O55" s="25" t="n">
        <f aca="false">L55+N55</f>
        <v>5017.00873887176</v>
      </c>
      <c r="P55" s="25" t="n">
        <f aca="false">L55*Допущения!$C$25</f>
        <v>665.483320033434</v>
      </c>
      <c r="Q55" s="25" t="n">
        <f aca="false">L55*(1-Допущения!$C$25)+N55</f>
        <v>4351.52541883833</v>
      </c>
      <c r="R55" s="17" t="n">
        <f aca="false">MAX(Допущения!$C$18,ROUNDUP(Q55/Допущения!$C$68+P55/Допущения!$C$69,0))</f>
        <v>61</v>
      </c>
      <c r="S55" s="17" t="n">
        <f aca="false">ROUNDUP(R55/Допущения!$C$48,0)</f>
        <v>6</v>
      </c>
      <c r="T55" s="17" t="n">
        <f aca="false">L55*F55/(1+Допущения!$C$6)</f>
        <v>13001179.9761595</v>
      </c>
      <c r="U55" s="17" t="n">
        <f aca="false">N55*Допущения!$C$28*E55/(1+Допущения!$C$6)</f>
        <v>1241068.12088719</v>
      </c>
      <c r="V55" s="17" t="n">
        <f aca="false">O55*Допущения!$C$26*Допущения!$C$27/(1+Допущения!$C$6)</f>
        <v>616845.336746528</v>
      </c>
      <c r="W55" s="17" t="n">
        <f aca="false">T55+U55+V55</f>
        <v>14859093.4337933</v>
      </c>
      <c r="X55" s="17" t="n">
        <f aca="false">J55*Допущения!$C$37</f>
        <v>10000</v>
      </c>
      <c r="Y55" s="17" t="n">
        <f aca="false">(R55*Допущения!$C$47+S55*Допущения!$C$49)*D55*Допущения!$C$9</f>
        <v>9813315.7075968</v>
      </c>
      <c r="Z55" s="17" t="n">
        <f aca="false">(MAX(0,R55-R54)+R55*Допущения!$C$50/12)*Допущения!$C$51*D55</f>
        <v>145232.19648</v>
      </c>
      <c r="AA55" s="17" t="n">
        <f aca="false">O55*(Допущения!$C$53+Допущения!$C$54)+(L55*F55+N55*Допущения!$C$28*E55)*Допущения!$C$13</f>
        <v>2143967.95789934</v>
      </c>
      <c r="AB55" s="17" t="n">
        <f aca="false">(R55+S55)*Допущения!$C$52</f>
        <v>180900</v>
      </c>
      <c r="AC55" s="17" t="n">
        <f aca="false">SUMPRODUCT(Допущения!$B$84:$B$91,Допущения!$C$84:$C$91,--(Допущения!$D$84:$D$91&lt;=A55))*D55*Допущения!$C$9</f>
        <v>2674748.5051392</v>
      </c>
      <c r="AD55" s="17" t="n">
        <f aca="false">(AC55+Y55)*Допущения!$C$14</f>
        <v>1248806.4212736</v>
      </c>
      <c r="AE55" s="17" t="n">
        <f aca="false">Допущения!$C$55+Допущения!$C$56*O55/1000+Допущения!$C$57</f>
        <v>180136.069910974</v>
      </c>
      <c r="AF55" s="17" t="n">
        <f aca="false">SUMIF(Допущения!$B$95:$B$103,A55,Допущения!$C$95:$C$103)</f>
        <v>0</v>
      </c>
      <c r="AG55" s="17" t="n">
        <v>0</v>
      </c>
      <c r="AH55" s="17" t="n">
        <f aca="false">G55+SUM(X55:AG55)</f>
        <v>18897106.8582999</v>
      </c>
      <c r="AI55" s="17" t="n">
        <f aca="false">W55-AH55</f>
        <v>-4038013.42450666</v>
      </c>
      <c r="AJ55" s="17" t="n">
        <f aca="false">AJ54+AI55</f>
        <v>-180013067.594648</v>
      </c>
      <c r="AK55" s="17" t="n">
        <f aca="false">O55*Допущения!$C$58*Допущения!$C$59</f>
        <v>82780.6441913841</v>
      </c>
      <c r="AL55" s="17" t="n">
        <f aca="false">T55*Допущения!$C$72</f>
        <v>655521.679470229</v>
      </c>
      <c r="AM55" s="17" t="n">
        <f aca="false">IF(MOD(A55,12)=0,INDEX($F$70:$F$74,B55),0)</f>
        <v>0</v>
      </c>
      <c r="AN55" s="17" t="n">
        <f aca="false">AI55-AM55</f>
        <v>-4038013.42450666</v>
      </c>
      <c r="AO55" s="26" t="n">
        <f aca="false">1/(1+Допущения!$C$74)^A55</f>
        <v>0.436684092932853</v>
      </c>
      <c r="AP55" s="21" t="str">
        <f aca="false">IF(AND(A55&gt;Допущения!$C$19,MIN(AI55:AI$65)&gt;0),A55,"")</f>
        <v/>
      </c>
      <c r="AQ55" s="21" t="str">
        <f aca="false">IF(MIN(AJ55:AJ$65)&gt;0,A55,"")</f>
        <v/>
      </c>
    </row>
    <row r="56" customFormat="false" ht="15" hidden="false" customHeight="false" outlineLevel="0" collapsed="false">
      <c r="A56" s="28" t="n">
        <v>51</v>
      </c>
      <c r="B56" s="28" t="n">
        <f aca="false">INT((A56-1)/12)+1</f>
        <v>5</v>
      </c>
      <c r="C56" s="12" t="s">
        <v>462</v>
      </c>
      <c r="D56" s="15" t="n">
        <f aca="false">(1+Допущения!$C$11)^(B56-1)</f>
        <v>1.36048896</v>
      </c>
      <c r="E56" s="15" t="n">
        <f aca="false">(1+Допущения!$C$12)^(B56-1)</f>
        <v>1.31079601</v>
      </c>
      <c r="F56" s="17" t="n">
        <f aca="false">Допущения!$C$71*E56</f>
        <v>3575.1699013548</v>
      </c>
      <c r="G56" s="17" t="n">
        <f aca="false">MIN(G55*(1+Допущения!$C$33),Допущения!$C$34)</f>
        <v>2500000</v>
      </c>
      <c r="H56" s="25" t="n">
        <f aca="false">MIN(Допущения!$C$30,G56/Допущения!$C$29)</f>
        <v>200</v>
      </c>
      <c r="I56" s="25" t="n">
        <f aca="false">MAX(0,G56-H56*Допущения!$C$29)/Допущения!$C$31</f>
        <v>293.333333333333</v>
      </c>
      <c r="J56" s="25" t="n">
        <f aca="false">IF(A56&gt;=Допущения!$C$35,Допущения!$C$36,0)</f>
        <v>20</v>
      </c>
      <c r="K56" s="25" t="n">
        <f aca="false">H56+I56+J56</f>
        <v>513.333333333333</v>
      </c>
      <c r="L56" s="25" t="n">
        <f aca="false">(L55-K55)*(1-Допущения!$C$44)+K55*(1-Допущения!$C$43)+K56</f>
        <v>4456.36436287173</v>
      </c>
      <c r="M56" s="25" t="n">
        <f aca="false">IF(A56&gt;=Допущения!$C$38,Допущения!$C$73/Допущения!$C$42*MIN(Допущения!$C$42,A56-Допущения!$C$38+1),0)</f>
        <v>20</v>
      </c>
      <c r="N56" s="25" t="n">
        <f aca="false">N55*(1-Допущения!$C$45)+M56</f>
        <v>588.844206542558</v>
      </c>
      <c r="O56" s="25" t="n">
        <f aca="false">L56+N56</f>
        <v>5045.20856941429</v>
      </c>
      <c r="P56" s="25" t="n">
        <f aca="false">L56*Допущения!$C$25</f>
        <v>668.454654430759</v>
      </c>
      <c r="Q56" s="25" t="n">
        <f aca="false">L56*(1-Допущения!$C$25)+N56</f>
        <v>4376.75391498353</v>
      </c>
      <c r="R56" s="17" t="n">
        <f aca="false">MAX(Допущения!$C$18,ROUNDUP(Q56/Допущения!$C$68+P56/Допущения!$C$69,0))</f>
        <v>62</v>
      </c>
      <c r="S56" s="17" t="n">
        <f aca="false">ROUNDUP(R56/Допущения!$C$48,0)</f>
        <v>6</v>
      </c>
      <c r="T56" s="17" t="n">
        <f aca="false">L56*F56/(1+Допущения!$C$6)</f>
        <v>13059229.2947616</v>
      </c>
      <c r="U56" s="17" t="n">
        <f aca="false">N56*Допущения!$C$28*E56/(1+Допущения!$C$6)</f>
        <v>1259008.7922383</v>
      </c>
      <c r="V56" s="17" t="n">
        <f aca="false">O56*Допущения!$C$26*Допущения!$C$27/(1+Допущения!$C$6)</f>
        <v>620312.529026347</v>
      </c>
      <c r="W56" s="17" t="n">
        <f aca="false">T56+U56+V56</f>
        <v>14938550.6160263</v>
      </c>
      <c r="X56" s="17" t="n">
        <f aca="false">J56*Допущения!$C$37</f>
        <v>10000</v>
      </c>
      <c r="Y56" s="17" t="n">
        <f aca="false">(R56*Допущения!$C$47+S56*Допущения!$C$49)*D56*Допущения!$C$9</f>
        <v>9955024.2376704</v>
      </c>
      <c r="Z56" s="17" t="n">
        <f aca="false">(MAX(0,R56-R55)+R56*Допущения!$C$50/12)*Допущения!$C$51*D56</f>
        <v>242847.27936</v>
      </c>
      <c r="AA56" s="17" t="n">
        <f aca="false">O56*(Допущения!$C$53+Допущения!$C$54)+(L56*F56+N56*Допущения!$C$28*E56)*Допущения!$C$13</f>
        <v>2155929.63622673</v>
      </c>
      <c r="AB56" s="17" t="n">
        <f aca="false">(R56+S56)*Допущения!$C$52</f>
        <v>183600</v>
      </c>
      <c r="AC56" s="17" t="n">
        <f aca="false">SUMPRODUCT(Допущения!$B$84:$B$91,Допущения!$C$84:$C$91,--(Допущения!$D$84:$D$91&lt;=A56))*D56*Допущения!$C$9</f>
        <v>2674748.5051392</v>
      </c>
      <c r="AD56" s="17" t="n">
        <f aca="false">(AC56+Y56)*Допущения!$C$14</f>
        <v>1262977.27428096</v>
      </c>
      <c r="AE56" s="17" t="n">
        <f aca="false">Допущения!$C$55+Допущения!$C$56*O56/1000+Допущения!$C$57</f>
        <v>180361.668555314</v>
      </c>
      <c r="AF56" s="17" t="n">
        <f aca="false">SUMIF(Допущения!$B$95:$B$103,A56,Допущения!$C$95:$C$103)</f>
        <v>0</v>
      </c>
      <c r="AG56" s="17" t="n">
        <v>0</v>
      </c>
      <c r="AH56" s="17" t="n">
        <f aca="false">G56+SUM(X56:AG56)</f>
        <v>19165488.6012326</v>
      </c>
      <c r="AI56" s="17" t="n">
        <f aca="false">W56-AH56</f>
        <v>-4226937.98520636</v>
      </c>
      <c r="AJ56" s="17" t="n">
        <f aca="false">AJ55+AI56</f>
        <v>-184240005.579855</v>
      </c>
      <c r="AK56" s="17" t="n">
        <f aca="false">O56*Допущения!$C$58*Допущения!$C$59</f>
        <v>83245.9413953357</v>
      </c>
      <c r="AL56" s="17" t="n">
        <f aca="false">T56*Допущения!$C$72</f>
        <v>658448.535870333</v>
      </c>
      <c r="AM56" s="17" t="n">
        <f aca="false">IF(MOD(A56,12)=0,INDEX($F$70:$F$74,B56),0)</f>
        <v>0</v>
      </c>
      <c r="AN56" s="17" t="n">
        <f aca="false">AI56-AM56</f>
        <v>-4226937.98520636</v>
      </c>
      <c r="AO56" s="26" t="n">
        <f aca="false">1/(1+Допущения!$C$74)^A56</f>
        <v>0.429507468164061</v>
      </c>
      <c r="AP56" s="21" t="str">
        <f aca="false">IF(AND(A56&gt;Допущения!$C$19,MIN(AI56:AI$65)&gt;0),A56,"")</f>
        <v/>
      </c>
      <c r="AQ56" s="21" t="str">
        <f aca="false">IF(MIN(AJ56:AJ$65)&gt;0,A56,"")</f>
        <v/>
      </c>
    </row>
    <row r="57" customFormat="false" ht="15" hidden="false" customHeight="false" outlineLevel="0" collapsed="false">
      <c r="A57" s="28" t="n">
        <v>52</v>
      </c>
      <c r="B57" s="28" t="n">
        <f aca="false">INT((A57-1)/12)+1</f>
        <v>5</v>
      </c>
      <c r="C57" s="12" t="s">
        <v>462</v>
      </c>
      <c r="D57" s="15" t="n">
        <f aca="false">(1+Допущения!$C$11)^(B57-1)</f>
        <v>1.36048896</v>
      </c>
      <c r="E57" s="15" t="n">
        <f aca="false">(1+Допущения!$C$12)^(B57-1)</f>
        <v>1.31079601</v>
      </c>
      <c r="F57" s="17" t="n">
        <f aca="false">Допущения!$C$71*E57</f>
        <v>3575.1699013548</v>
      </c>
      <c r="G57" s="17" t="n">
        <f aca="false">MIN(G56*(1+Допущения!$C$33),Допущения!$C$34)</f>
        <v>2500000</v>
      </c>
      <c r="H57" s="25" t="n">
        <f aca="false">MIN(Допущения!$C$30,G57/Допущения!$C$29)</f>
        <v>200</v>
      </c>
      <c r="I57" s="25" t="n">
        <f aca="false">MAX(0,G57-H57*Допущения!$C$29)/Допущения!$C$31</f>
        <v>293.333333333333</v>
      </c>
      <c r="J57" s="25" t="n">
        <f aca="false">IF(A57&gt;=Допущения!$C$35,Допущения!$C$36,0)</f>
        <v>20</v>
      </c>
      <c r="K57" s="25" t="n">
        <f aca="false">H57+I57+J57</f>
        <v>513.333333333333</v>
      </c>
      <c r="L57" s="25" t="n">
        <f aca="false">(L56-K56)*(1-Допущения!$C$44)+K56*(1-Допущения!$C$43)+K57</f>
        <v>4474.58854717532</v>
      </c>
      <c r="M57" s="25" t="n">
        <f aca="false">IF(A57&gt;=Допущения!$C$38,Допущения!$C$73/Допущения!$C$42*MIN(Допущения!$C$42,A57-Допущения!$C$38+1),0)</f>
        <v>20</v>
      </c>
      <c r="N57" s="25" t="n">
        <f aca="false">N56*(1-Допущения!$C$45)+M57</f>
        <v>597.067322411707</v>
      </c>
      <c r="O57" s="25" t="n">
        <f aca="false">L57+N57</f>
        <v>5071.65586958703</v>
      </c>
      <c r="P57" s="25" t="n">
        <f aca="false">L57*Допущения!$C$25</f>
        <v>671.188282076298</v>
      </c>
      <c r="Q57" s="25" t="n">
        <f aca="false">L57*(1-Допущения!$C$25)+N57</f>
        <v>4400.46758751073</v>
      </c>
      <c r="R57" s="17" t="n">
        <f aca="false">MAX(Допущения!$C$18,ROUNDUP(Q57/Допущения!$C$68+P57/Допущения!$C$69,0))</f>
        <v>62</v>
      </c>
      <c r="S57" s="17" t="n">
        <f aca="false">ROUNDUP(R57/Допущения!$C$48,0)</f>
        <v>6</v>
      </c>
      <c r="T57" s="17" t="n">
        <f aca="false">L57*F57/(1+Допущения!$C$6)</f>
        <v>13112634.6678755</v>
      </c>
      <c r="U57" s="17" t="n">
        <f aca="false">N57*Допущения!$C$28*E57/(1+Допущения!$C$6)</f>
        <v>1276590.65016239</v>
      </c>
      <c r="V57" s="17" t="n">
        <f aca="false">O57*Допущения!$C$26*Допущения!$C$27/(1+Допущения!$C$6)</f>
        <v>623564.2462607</v>
      </c>
      <c r="W57" s="17" t="n">
        <f aca="false">T57+U57+V57</f>
        <v>15012789.5642986</v>
      </c>
      <c r="X57" s="17" t="n">
        <f aca="false">J57*Допущения!$C$37</f>
        <v>10000</v>
      </c>
      <c r="Y57" s="17" t="n">
        <f aca="false">(R57*Допущения!$C$47+S57*Допущения!$C$49)*D57*Допущения!$C$9</f>
        <v>9955024.2376704</v>
      </c>
      <c r="Z57" s="17" t="n">
        <f aca="false">(MAX(0,R57-R56)+R57*Допущения!$C$50/12)*Допущения!$C$51*D57</f>
        <v>147613.05216</v>
      </c>
      <c r="AA57" s="17" t="n">
        <f aca="false">O57*(Допущения!$C$53+Допущения!$C$54)+(L57*F57+N57*Допущения!$C$28*E57)*Допущения!$C$13</f>
        <v>2167141.78038338</v>
      </c>
      <c r="AB57" s="17" t="n">
        <f aca="false">(R57+S57)*Допущения!$C$52</f>
        <v>183600</v>
      </c>
      <c r="AC57" s="17" t="n">
        <f aca="false">SUMPRODUCT(Допущения!$B$84:$B$91,Допущения!$C$84:$C$91,--(Допущения!$D$84:$D$91&lt;=A57))*D57*Допущения!$C$9</f>
        <v>2674748.5051392</v>
      </c>
      <c r="AD57" s="17" t="n">
        <f aca="false">(AC57+Y57)*Допущения!$C$14</f>
        <v>1262977.27428096</v>
      </c>
      <c r="AE57" s="17" t="n">
        <f aca="false">Допущения!$C$55+Допущения!$C$56*O57/1000+Допущения!$C$57</f>
        <v>180573.246956696</v>
      </c>
      <c r="AF57" s="17" t="n">
        <f aca="false">SUMIF(Допущения!$B$95:$B$103,A57,Допущения!$C$95:$C$103)</f>
        <v>0</v>
      </c>
      <c r="AG57" s="17" t="n">
        <v>0</v>
      </c>
      <c r="AH57" s="17" t="n">
        <f aca="false">G57+SUM(X57:AG57)</f>
        <v>19081678.0965906</v>
      </c>
      <c r="AI57" s="17" t="n">
        <f aca="false">W57-AH57</f>
        <v>-4068888.53229204</v>
      </c>
      <c r="AJ57" s="17" t="n">
        <f aca="false">AJ56+AI57</f>
        <v>-188308894.112147</v>
      </c>
      <c r="AK57" s="17" t="n">
        <f aca="false">O57*Допущения!$C$58*Допущения!$C$59</f>
        <v>83682.321848186</v>
      </c>
      <c r="AL57" s="17" t="n">
        <f aca="false">T57*Допущения!$C$72</f>
        <v>661141.243758429</v>
      </c>
      <c r="AM57" s="17" t="n">
        <f aca="false">IF(MOD(A57,12)=0,INDEX($F$70:$F$74,B57),0)</f>
        <v>0</v>
      </c>
      <c r="AN57" s="17" t="n">
        <f aca="false">AI57-AM57</f>
        <v>-4068888.53229204</v>
      </c>
      <c r="AO57" s="26" t="n">
        <f aca="false">1/(1+Допущения!$C$74)^A57</f>
        <v>0.422448786649684</v>
      </c>
      <c r="AP57" s="21" t="str">
        <f aca="false">IF(AND(A57&gt;Допущения!$C$19,MIN(AI57:AI$65)&gt;0),A57,"")</f>
        <v/>
      </c>
      <c r="AQ57" s="21" t="str">
        <f aca="false">IF(MIN(AJ57:AJ$65)&gt;0,A57,"")</f>
        <v/>
      </c>
    </row>
    <row r="58" customFormat="false" ht="15" hidden="false" customHeight="false" outlineLevel="0" collapsed="false">
      <c r="A58" s="28" t="n">
        <v>53</v>
      </c>
      <c r="B58" s="28" t="n">
        <f aca="false">INT((A58-1)/12)+1</f>
        <v>5</v>
      </c>
      <c r="C58" s="12" t="s">
        <v>462</v>
      </c>
      <c r="D58" s="15" t="n">
        <f aca="false">(1+Допущения!$C$11)^(B58-1)</f>
        <v>1.36048896</v>
      </c>
      <c r="E58" s="15" t="n">
        <f aca="false">(1+Допущения!$C$12)^(B58-1)</f>
        <v>1.31079601</v>
      </c>
      <c r="F58" s="17" t="n">
        <f aca="false">Допущения!$C$71*E58</f>
        <v>3575.1699013548</v>
      </c>
      <c r="G58" s="17" t="n">
        <f aca="false">MIN(G57*(1+Допущения!$C$33),Допущения!$C$34)</f>
        <v>2500000</v>
      </c>
      <c r="H58" s="25" t="n">
        <f aca="false">MIN(Допущения!$C$30,G58/Допущения!$C$29)</f>
        <v>200</v>
      </c>
      <c r="I58" s="25" t="n">
        <f aca="false">MAX(0,G58-H58*Допущения!$C$29)/Допущения!$C$31</f>
        <v>293.333333333333</v>
      </c>
      <c r="J58" s="25" t="n">
        <f aca="false">IF(A58&gt;=Допущения!$C$35,Допущения!$C$36,0)</f>
        <v>20</v>
      </c>
      <c r="K58" s="25" t="n">
        <f aca="false">H58+I58+J58</f>
        <v>513.333333333333</v>
      </c>
      <c r="L58" s="25" t="n">
        <f aca="false">(L57-K57)*(1-Допущения!$C$44)+K57*(1-Допущения!$C$43)+K58</f>
        <v>4491.35479673463</v>
      </c>
      <c r="M58" s="25" t="n">
        <f aca="false">IF(A58&gt;=Допущения!$C$38,Допущения!$C$73/Допущения!$C$42*MIN(Допущения!$C$42,A58-Допущения!$C$38+1),0)</f>
        <v>20</v>
      </c>
      <c r="N58" s="25" t="n">
        <f aca="false">N57*(1-Допущения!$C$45)+M58</f>
        <v>605.125975963473</v>
      </c>
      <c r="O58" s="25" t="n">
        <f aca="false">L58+N58</f>
        <v>5096.4807726981</v>
      </c>
      <c r="P58" s="25" t="n">
        <f aca="false">L58*Допущения!$C$25</f>
        <v>673.703219510195</v>
      </c>
      <c r="Q58" s="25" t="n">
        <f aca="false">L58*(1-Допущения!$C$25)+N58</f>
        <v>4422.77755318791</v>
      </c>
      <c r="R58" s="17" t="n">
        <f aca="false">MAX(Допущения!$C$18,ROUNDUP(Q58/Допущения!$C$68+P58/Допущения!$C$69,0))</f>
        <v>62</v>
      </c>
      <c r="S58" s="17" t="n">
        <f aca="false">ROUNDUP(R58/Допущения!$C$48,0)</f>
        <v>6</v>
      </c>
      <c r="T58" s="17" t="n">
        <f aca="false">L58*F58/(1+Допущения!$C$6)</f>
        <v>13161767.6111403</v>
      </c>
      <c r="U58" s="17" t="n">
        <f aca="false">N58*Допущения!$C$28*E58/(1+Допущения!$C$6)</f>
        <v>1293820.87092799</v>
      </c>
      <c r="V58" s="17" t="n">
        <f aca="false">O58*Допущения!$C$26*Допущения!$C$27/(1+Допущения!$C$6)</f>
        <v>626616.488446488</v>
      </c>
      <c r="W58" s="17" t="n">
        <f aca="false">T58+U58+V58</f>
        <v>15082204.9705148</v>
      </c>
      <c r="X58" s="17" t="n">
        <f aca="false">J58*Допущения!$C$37</f>
        <v>10000</v>
      </c>
      <c r="Y58" s="17" t="n">
        <f aca="false">(R58*Допущения!$C$47+S58*Допущения!$C$49)*D58*Допущения!$C$9</f>
        <v>9955024.2376704</v>
      </c>
      <c r="Z58" s="17" t="n">
        <f aca="false">(MAX(0,R58-R57)+R58*Допущения!$C$50/12)*Допущения!$C$51*D58</f>
        <v>147613.05216</v>
      </c>
      <c r="AA58" s="17" t="n">
        <f aca="false">O58*(Допущения!$C$53+Допущения!$C$54)+(L58*F58+N58*Допущения!$C$28*E58)*Допущения!$C$13</f>
        <v>2177660.20510103</v>
      </c>
      <c r="AB58" s="17" t="n">
        <f aca="false">(R58+S58)*Допущения!$C$52</f>
        <v>183600</v>
      </c>
      <c r="AC58" s="17" t="n">
        <f aca="false">SUMPRODUCT(Допущения!$B$84:$B$91,Допущения!$C$84:$C$91,--(Допущения!$D$84:$D$91&lt;=A58))*D58*Допущения!$C$9</f>
        <v>2674748.5051392</v>
      </c>
      <c r="AD58" s="17" t="n">
        <f aca="false">(AC58+Y58)*Допущения!$C$14</f>
        <v>1262977.27428096</v>
      </c>
      <c r="AE58" s="17" t="n">
        <f aca="false">Допущения!$C$55+Допущения!$C$56*O58/1000+Допущения!$C$57</f>
        <v>180771.846181585</v>
      </c>
      <c r="AF58" s="17" t="n">
        <f aca="false">SUMIF(Допущения!$B$95:$B$103,A58,Допущения!$C$95:$C$103)</f>
        <v>0</v>
      </c>
      <c r="AG58" s="17" t="n">
        <v>0</v>
      </c>
      <c r="AH58" s="17" t="n">
        <f aca="false">G58+SUM(X58:AG58)</f>
        <v>19092395.1205332</v>
      </c>
      <c r="AI58" s="17" t="n">
        <f aca="false">W58-AH58</f>
        <v>-4010190.1500184</v>
      </c>
      <c r="AJ58" s="17" t="n">
        <f aca="false">AJ57+AI58</f>
        <v>-192319084.262165</v>
      </c>
      <c r="AK58" s="17" t="n">
        <f aca="false">O58*Допущения!$C$58*Допущения!$C$59</f>
        <v>84091.9327495187</v>
      </c>
      <c r="AL58" s="17" t="n">
        <f aca="false">T58*Допущения!$C$72</f>
        <v>663618.535015477</v>
      </c>
      <c r="AM58" s="17" t="n">
        <f aca="false">IF(MOD(A58,12)=0,INDEX($F$70:$F$74,B58),0)</f>
        <v>0</v>
      </c>
      <c r="AN58" s="17" t="n">
        <f aca="false">AI58-AM58</f>
        <v>-4010190.1500184</v>
      </c>
      <c r="AO58" s="26" t="n">
        <f aca="false">1/(1+Допущения!$C$74)^A58</f>
        <v>0.415506110067503</v>
      </c>
      <c r="AP58" s="21" t="str">
        <f aca="false">IF(AND(A58&gt;Допущения!$C$19,MIN(AI58:AI$65)&gt;0),A58,"")</f>
        <v/>
      </c>
      <c r="AQ58" s="21" t="str">
        <f aca="false">IF(MIN(AJ58:AJ$65)&gt;0,A58,"")</f>
        <v/>
      </c>
    </row>
    <row r="59" customFormat="false" ht="15" hidden="false" customHeight="false" outlineLevel="0" collapsed="false">
      <c r="A59" s="28" t="n">
        <v>54</v>
      </c>
      <c r="B59" s="28" t="n">
        <f aca="false">INT((A59-1)/12)+1</f>
        <v>5</v>
      </c>
      <c r="C59" s="12" t="s">
        <v>462</v>
      </c>
      <c r="D59" s="15" t="n">
        <f aca="false">(1+Допущения!$C$11)^(B59-1)</f>
        <v>1.36048896</v>
      </c>
      <c r="E59" s="15" t="n">
        <f aca="false">(1+Допущения!$C$12)^(B59-1)</f>
        <v>1.31079601</v>
      </c>
      <c r="F59" s="17" t="n">
        <f aca="false">Допущения!$C$71*E59</f>
        <v>3575.1699013548</v>
      </c>
      <c r="G59" s="17" t="n">
        <f aca="false">MIN(G58*(1+Допущения!$C$33),Допущения!$C$34)</f>
        <v>2500000</v>
      </c>
      <c r="H59" s="25" t="n">
        <f aca="false">MIN(Допущения!$C$30,G59/Допущения!$C$29)</f>
        <v>200</v>
      </c>
      <c r="I59" s="25" t="n">
        <f aca="false">MAX(0,G59-H59*Допущения!$C$29)/Допущения!$C$31</f>
        <v>293.333333333333</v>
      </c>
      <c r="J59" s="25" t="n">
        <f aca="false">IF(A59&gt;=Допущения!$C$35,Допущения!$C$36,0)</f>
        <v>20</v>
      </c>
      <c r="K59" s="25" t="n">
        <f aca="false">H59+I59+J59</f>
        <v>513.333333333333</v>
      </c>
      <c r="L59" s="25" t="n">
        <f aca="false">(L58-K58)*(1-Допущения!$C$44)+K58*(1-Допущения!$C$43)+K59</f>
        <v>4506.77974632919</v>
      </c>
      <c r="M59" s="25" t="n">
        <f aca="false">IF(A59&gt;=Допущения!$C$38,Допущения!$C$73/Допущения!$C$42*MIN(Допущения!$C$42,A59-Допущения!$C$38+1),0)</f>
        <v>20</v>
      </c>
      <c r="N59" s="25" t="n">
        <f aca="false">N58*(1-Допущения!$C$45)+M59</f>
        <v>613.023456444204</v>
      </c>
      <c r="O59" s="25" t="n">
        <f aca="false">L59+N59</f>
        <v>5119.8032027734</v>
      </c>
      <c r="P59" s="25" t="n">
        <f aca="false">L59*Допущения!$C$25</f>
        <v>676.016961949379</v>
      </c>
      <c r="Q59" s="25" t="n">
        <f aca="false">L59*(1-Допущения!$C$25)+N59</f>
        <v>4443.78624082402</v>
      </c>
      <c r="R59" s="17" t="n">
        <f aca="false">MAX(Допущения!$C$18,ROUNDUP(Q59/Допущения!$C$68+P59/Допущения!$C$69,0))</f>
        <v>63</v>
      </c>
      <c r="S59" s="17" t="n">
        <f aca="false">ROUNDUP(R59/Допущения!$C$48,0)</f>
        <v>6</v>
      </c>
      <c r="T59" s="17" t="n">
        <f aca="false">L59*F59/(1+Допущения!$C$6)</f>
        <v>13206969.9189439</v>
      </c>
      <c r="U59" s="17" t="n">
        <f aca="false">N59*Допущения!$C$28*E59/(1+Допущения!$C$6)</f>
        <v>1310706.48727828</v>
      </c>
      <c r="V59" s="17" t="n">
        <f aca="false">O59*Допущения!$C$26*Допущения!$C$27/(1+Допущения!$C$6)</f>
        <v>629484.000340992</v>
      </c>
      <c r="W59" s="17" t="n">
        <f aca="false">T59+U59+V59</f>
        <v>15147160.4065632</v>
      </c>
      <c r="X59" s="17" t="n">
        <f aca="false">J59*Допущения!$C$37</f>
        <v>10000</v>
      </c>
      <c r="Y59" s="17" t="n">
        <f aca="false">(R59*Допущения!$C$47+S59*Допущения!$C$49)*D59*Допущения!$C$9</f>
        <v>10096732.767744</v>
      </c>
      <c r="Z59" s="17" t="n">
        <f aca="false">(MAX(0,R59-R58)+R59*Допущения!$C$50/12)*Допущения!$C$51*D59</f>
        <v>245228.13504</v>
      </c>
      <c r="AA59" s="17" t="n">
        <f aca="false">O59*(Допущения!$C$53+Допущения!$C$54)+(L59*F59+N59*Допущения!$C$28*E59)*Допущения!$C$13</f>
        <v>2187536.34289293</v>
      </c>
      <c r="AB59" s="17" t="n">
        <f aca="false">(R59+S59)*Допущения!$C$52</f>
        <v>186300</v>
      </c>
      <c r="AC59" s="17" t="n">
        <f aca="false">SUMPRODUCT(Допущения!$B$84:$B$91,Допущения!$C$84:$C$91,--(Допущения!$D$84:$D$91&lt;=A59))*D59*Допущения!$C$9</f>
        <v>2674748.5051392</v>
      </c>
      <c r="AD59" s="17" t="n">
        <f aca="false">(AC59+Y59)*Допущения!$C$14</f>
        <v>1277148.12728832</v>
      </c>
      <c r="AE59" s="17" t="n">
        <f aca="false">Допущения!$C$55+Допущения!$C$56*O59/1000+Допущения!$C$57</f>
        <v>180958.425622187</v>
      </c>
      <c r="AF59" s="17" t="n">
        <f aca="false">SUMIF(Допущения!$B$95:$B$103,A59,Допущения!$C$95:$C$103)</f>
        <v>0</v>
      </c>
      <c r="AG59" s="17" t="n">
        <v>0</v>
      </c>
      <c r="AH59" s="17" t="n">
        <f aca="false">G59+SUM(X59:AG59)</f>
        <v>19358652.3037266</v>
      </c>
      <c r="AI59" s="17" t="n">
        <f aca="false">W59-AH59</f>
        <v>-4211491.89716347</v>
      </c>
      <c r="AJ59" s="17" t="n">
        <f aca="false">AJ58+AI59</f>
        <v>-196530576.159328</v>
      </c>
      <c r="AK59" s="17" t="n">
        <f aca="false">O59*Допущения!$C$58*Допущения!$C$59</f>
        <v>84476.7528457611</v>
      </c>
      <c r="AL59" s="17" t="n">
        <f aca="false">T59*Допущения!$C$72</f>
        <v>665897.642971961</v>
      </c>
      <c r="AM59" s="17" t="n">
        <f aca="false">IF(MOD(A59,12)=0,INDEX($F$70:$F$74,B59),0)</f>
        <v>0</v>
      </c>
      <c r="AN59" s="17" t="n">
        <f aca="false">AI59-AM59</f>
        <v>-4211491.89716347</v>
      </c>
      <c r="AO59" s="26" t="n">
        <f aca="false">1/(1+Допущения!$C$74)^A59</f>
        <v>0.408677531950384</v>
      </c>
      <c r="AP59" s="21" t="str">
        <f aca="false">IF(AND(A59&gt;Допущения!$C$19,MIN(AI59:AI$65)&gt;0),A59,"")</f>
        <v/>
      </c>
      <c r="AQ59" s="21" t="str">
        <f aca="false">IF(MIN(AJ59:AJ$65)&gt;0,A59,"")</f>
        <v/>
      </c>
    </row>
    <row r="60" customFormat="false" ht="15" hidden="false" customHeight="false" outlineLevel="0" collapsed="false">
      <c r="A60" s="28" t="n">
        <v>55</v>
      </c>
      <c r="B60" s="28" t="n">
        <f aca="false">INT((A60-1)/12)+1</f>
        <v>5</v>
      </c>
      <c r="C60" s="12" t="s">
        <v>462</v>
      </c>
      <c r="D60" s="15" t="n">
        <f aca="false">(1+Допущения!$C$11)^(B60-1)</f>
        <v>1.36048896</v>
      </c>
      <c r="E60" s="15" t="n">
        <f aca="false">(1+Допущения!$C$12)^(B60-1)</f>
        <v>1.31079601</v>
      </c>
      <c r="F60" s="17" t="n">
        <f aca="false">Допущения!$C$71*E60</f>
        <v>3575.1699013548</v>
      </c>
      <c r="G60" s="17" t="n">
        <f aca="false">MIN(G59*(1+Допущения!$C$33),Допущения!$C$34)</f>
        <v>2500000</v>
      </c>
      <c r="H60" s="25" t="n">
        <f aca="false">MIN(Допущения!$C$30,G60/Допущения!$C$29)</f>
        <v>200</v>
      </c>
      <c r="I60" s="25" t="n">
        <f aca="false">MAX(0,G60-H60*Допущения!$C$29)/Допущения!$C$31</f>
        <v>293.333333333333</v>
      </c>
      <c r="J60" s="25" t="n">
        <f aca="false">IF(A60&gt;=Допущения!$C$35,Допущения!$C$36,0)</f>
        <v>20</v>
      </c>
      <c r="K60" s="25" t="n">
        <f aca="false">H60+I60+J60</f>
        <v>513.333333333333</v>
      </c>
      <c r="L60" s="25" t="n">
        <f aca="false">(L59-K59)*(1-Допущения!$C$44)+K59*(1-Допущения!$C$43)+K60</f>
        <v>4520.97069995619</v>
      </c>
      <c r="M60" s="25" t="n">
        <f aca="false">IF(A60&gt;=Допущения!$C$38,Допущения!$C$73/Допущения!$C$42*MIN(Допущения!$C$42,A60-Допущения!$C$38+1),0)</f>
        <v>20</v>
      </c>
      <c r="N60" s="25" t="n">
        <f aca="false">N59*(1-Допущения!$C$45)+M60</f>
        <v>620.76298731532</v>
      </c>
      <c r="O60" s="25" t="n">
        <f aca="false">L60+N60</f>
        <v>5141.73368727151</v>
      </c>
      <c r="P60" s="25" t="n">
        <f aca="false">L60*Допущения!$C$25</f>
        <v>678.145604993429</v>
      </c>
      <c r="Q60" s="25" t="n">
        <f aca="false">L60*(1-Допущения!$C$25)+N60</f>
        <v>4463.58808227808</v>
      </c>
      <c r="R60" s="17" t="n">
        <f aca="false">MAX(Допущения!$C$18,ROUNDUP(Q60/Допущения!$C$68+P60/Допущения!$C$69,0))</f>
        <v>63</v>
      </c>
      <c r="S60" s="17" t="n">
        <f aca="false">ROUNDUP(R60/Допущения!$C$48,0)</f>
        <v>6</v>
      </c>
      <c r="T60" s="17" t="n">
        <f aca="false">L60*F60/(1+Допущения!$C$6)</f>
        <v>13248556.0421232</v>
      </c>
      <c r="U60" s="17" t="n">
        <f aca="false">N60*Допущения!$C$28*E60/(1+Допущения!$C$6)</f>
        <v>1327254.39130157</v>
      </c>
      <c r="V60" s="17" t="n">
        <f aca="false">O60*Допущения!$C$26*Допущения!$C$27/(1+Допущения!$C$6)</f>
        <v>632180.371385842</v>
      </c>
      <c r="W60" s="17" t="n">
        <f aca="false">T60+U60+V60</f>
        <v>15207990.8048106</v>
      </c>
      <c r="X60" s="17" t="n">
        <f aca="false">J60*Допущения!$C$37</f>
        <v>10000</v>
      </c>
      <c r="Y60" s="17" t="n">
        <f aca="false">(R60*Допущения!$C$47+S60*Допущения!$C$49)*D60*Допущения!$C$9</f>
        <v>10096732.767744</v>
      </c>
      <c r="Z60" s="17" t="n">
        <f aca="false">(MAX(0,R60-R59)+R60*Допущения!$C$50/12)*Допущения!$C$51*D60</f>
        <v>149993.90784</v>
      </c>
      <c r="AA60" s="17" t="n">
        <f aca="false">O60*(Допущения!$C$53+Допущения!$C$54)+(L60*F60+N60*Допущения!$C$28*E60)*Допущения!$C$13</f>
        <v>2196817.59297211</v>
      </c>
      <c r="AB60" s="17" t="n">
        <f aca="false">(R60+S60)*Допущения!$C$52</f>
        <v>186300</v>
      </c>
      <c r="AC60" s="17" t="n">
        <f aca="false">SUMPRODUCT(Допущения!$B$84:$B$91,Допущения!$C$84:$C$91,--(Допущения!$D$84:$D$91&lt;=A60))*D60*Допущения!$C$9</f>
        <v>2674748.5051392</v>
      </c>
      <c r="AD60" s="17" t="n">
        <f aca="false">(AC60+Y60)*Допущения!$C$14</f>
        <v>1277148.12728832</v>
      </c>
      <c r="AE60" s="17" t="n">
        <f aca="false">Допущения!$C$55+Допущения!$C$56*O60/1000+Допущения!$C$57</f>
        <v>181133.869498172</v>
      </c>
      <c r="AF60" s="17" t="n">
        <f aca="false">SUMIF(Допущения!$B$95:$B$103,A60,Допущения!$C$95:$C$103)</f>
        <v>0</v>
      </c>
      <c r="AG60" s="17" t="n">
        <v>0</v>
      </c>
      <c r="AH60" s="17" t="n">
        <f aca="false">G60+SUM(X60:AG60)</f>
        <v>19272874.7704818</v>
      </c>
      <c r="AI60" s="17" t="n">
        <f aca="false">W60-AH60</f>
        <v>-4064883.96567118</v>
      </c>
      <c r="AJ60" s="17" t="n">
        <f aca="false">AJ59+AI60</f>
        <v>-200595460.125</v>
      </c>
      <c r="AK60" s="17" t="n">
        <f aca="false">O60*Допущения!$C$58*Допущения!$C$59</f>
        <v>84838.6058399799</v>
      </c>
      <c r="AL60" s="17" t="n">
        <f aca="false">T60*Допущения!$C$72</f>
        <v>667994.422291927</v>
      </c>
      <c r="AM60" s="17" t="n">
        <f aca="false">IF(MOD(A60,12)=0,INDEX($F$70:$F$74,B60),0)</f>
        <v>0</v>
      </c>
      <c r="AN60" s="17" t="n">
        <f aca="false">AI60-AM60</f>
        <v>-4064883.96567118</v>
      </c>
      <c r="AO60" s="26" t="n">
        <f aca="false">1/(1+Допущения!$C$74)^A60</f>
        <v>0.401961177162772</v>
      </c>
      <c r="AP60" s="21" t="str">
        <f aca="false">IF(AND(A60&gt;Допущения!$C$19,MIN(AI60:AI$65)&gt;0),A60,"")</f>
        <v/>
      </c>
      <c r="AQ60" s="21" t="str">
        <f aca="false">IF(MIN(AJ60:AJ$65)&gt;0,A60,"")</f>
        <v/>
      </c>
    </row>
    <row r="61" customFormat="false" ht="15" hidden="false" customHeight="false" outlineLevel="0" collapsed="false">
      <c r="A61" s="28" t="n">
        <v>56</v>
      </c>
      <c r="B61" s="28" t="n">
        <f aca="false">INT((A61-1)/12)+1</f>
        <v>5</v>
      </c>
      <c r="C61" s="12" t="s">
        <v>462</v>
      </c>
      <c r="D61" s="15" t="n">
        <f aca="false">(1+Допущения!$C$11)^(B61-1)</f>
        <v>1.36048896</v>
      </c>
      <c r="E61" s="15" t="n">
        <f aca="false">(1+Допущения!$C$12)^(B61-1)</f>
        <v>1.31079601</v>
      </c>
      <c r="F61" s="17" t="n">
        <f aca="false">Допущения!$C$71*E61</f>
        <v>3575.1699013548</v>
      </c>
      <c r="G61" s="17" t="n">
        <f aca="false">MIN(G60*(1+Допущения!$C$33),Допущения!$C$34)</f>
        <v>2500000</v>
      </c>
      <c r="H61" s="25" t="n">
        <f aca="false">MIN(Допущения!$C$30,G61/Допущения!$C$29)</f>
        <v>200</v>
      </c>
      <c r="I61" s="25" t="n">
        <f aca="false">MAX(0,G61-H61*Допущения!$C$29)/Допущения!$C$31</f>
        <v>293.333333333333</v>
      </c>
      <c r="J61" s="25" t="n">
        <f aca="false">IF(A61&gt;=Допущения!$C$35,Допущения!$C$36,0)</f>
        <v>20</v>
      </c>
      <c r="K61" s="25" t="n">
        <f aca="false">H61+I61+J61</f>
        <v>513.333333333333</v>
      </c>
      <c r="L61" s="25" t="n">
        <f aca="false">(L60-K60)*(1-Допущения!$C$44)+K60*(1-Допущения!$C$43)+K61</f>
        <v>4534.02637729303</v>
      </c>
      <c r="M61" s="25" t="n">
        <f aca="false">IF(A61&gt;=Допущения!$C$38,Допущения!$C$73/Допущения!$C$42*MIN(Допущения!$C$42,A61-Допущения!$C$38+1),0)</f>
        <v>20</v>
      </c>
      <c r="N61" s="25" t="n">
        <f aca="false">N60*(1-Допущения!$C$45)+M61</f>
        <v>628.347727569013</v>
      </c>
      <c r="O61" s="25" t="n">
        <f aca="false">L61+N61</f>
        <v>5162.37410486204</v>
      </c>
      <c r="P61" s="25" t="n">
        <f aca="false">L61*Допущения!$C$25</f>
        <v>680.103956593954</v>
      </c>
      <c r="Q61" s="25" t="n">
        <f aca="false">L61*(1-Допущения!$C$25)+N61</f>
        <v>4482.27014826809</v>
      </c>
      <c r="R61" s="17" t="n">
        <f aca="false">MAX(Допущения!$C$18,ROUNDUP(Q61/Допущения!$C$68+P61/Допущения!$C$69,0))</f>
        <v>63</v>
      </c>
      <c r="S61" s="17" t="n">
        <f aca="false">ROUNDUP(R61/Допущения!$C$48,0)</f>
        <v>6</v>
      </c>
      <c r="T61" s="17" t="n">
        <f aca="false">L61*F61/(1+Допущения!$C$6)</f>
        <v>13286815.2754482</v>
      </c>
      <c r="U61" s="17" t="n">
        <f aca="false">N61*Допущения!$C$28*E61/(1+Допущения!$C$6)</f>
        <v>1343471.33724439</v>
      </c>
      <c r="V61" s="17" t="n">
        <f aca="false">O61*Допущения!$C$26*Допущения!$C$27/(1+Допущения!$C$6)</f>
        <v>634718.127646972</v>
      </c>
      <c r="W61" s="17" t="n">
        <f aca="false">T61+U61+V61</f>
        <v>15265004.7403395</v>
      </c>
      <c r="X61" s="17" t="n">
        <f aca="false">J61*Допущения!$C$37</f>
        <v>10000</v>
      </c>
      <c r="Y61" s="17" t="n">
        <f aca="false">(R61*Допущения!$C$47+S61*Допущения!$C$49)*D61*Допущения!$C$9</f>
        <v>10096732.767744</v>
      </c>
      <c r="Z61" s="17" t="n">
        <f aca="false">(MAX(0,R61-R60)+R61*Допущения!$C$50/12)*Допущения!$C$51*D61</f>
        <v>149993.90784</v>
      </c>
      <c r="AA61" s="17" t="n">
        <f aca="false">O61*(Допущения!$C$53+Допущения!$C$54)+(L61*F61+N61*Допущения!$C$28*E61)*Допущения!$C$13</f>
        <v>2205547.64228937</v>
      </c>
      <c r="AB61" s="17" t="n">
        <f aca="false">(R61+S61)*Допущения!$C$52</f>
        <v>186300</v>
      </c>
      <c r="AC61" s="17" t="n">
        <f aca="false">SUMPRODUCT(Допущения!$B$84:$B$91,Допущения!$C$84:$C$91,--(Допущения!$D$84:$D$91&lt;=A61))*D61*Допущения!$C$9</f>
        <v>2674748.5051392</v>
      </c>
      <c r="AD61" s="17" t="n">
        <f aca="false">(AC61+Y61)*Допущения!$C$14</f>
        <v>1277148.12728832</v>
      </c>
      <c r="AE61" s="17" t="n">
        <f aca="false">Допущения!$C$55+Допущения!$C$56*O61/1000+Допущения!$C$57</f>
        <v>181298.992838896</v>
      </c>
      <c r="AF61" s="17" t="n">
        <f aca="false">SUMIF(Допущения!$B$95:$B$103,A61,Допущения!$C$95:$C$103)</f>
        <v>0</v>
      </c>
      <c r="AG61" s="17" t="n">
        <v>0</v>
      </c>
      <c r="AH61" s="17" t="n">
        <f aca="false">G61+SUM(X61:AG61)</f>
        <v>19281769.9431398</v>
      </c>
      <c r="AI61" s="17" t="n">
        <f aca="false">W61-AH61</f>
        <v>-4016765.20280025</v>
      </c>
      <c r="AJ61" s="17" t="n">
        <f aca="false">AJ60+AI61</f>
        <v>-204612225.3278</v>
      </c>
      <c r="AK61" s="17" t="n">
        <f aca="false">O61*Допущения!$C$58*Допущения!$C$59</f>
        <v>85179.1727302237</v>
      </c>
      <c r="AL61" s="17" t="n">
        <f aca="false">T61*Допущения!$C$72</f>
        <v>669923.459266295</v>
      </c>
      <c r="AM61" s="17" t="n">
        <f aca="false">IF(MOD(A61,12)=0,INDEX($F$70:$F$74,B61),0)</f>
        <v>0</v>
      </c>
      <c r="AN61" s="17" t="n">
        <f aca="false">AI61-AM61</f>
        <v>-4016765.20280025</v>
      </c>
      <c r="AO61" s="26" t="n">
        <f aca="false">1/(1+Допущения!$C$74)^A61</f>
        <v>0.395355201385764</v>
      </c>
      <c r="AP61" s="21" t="str">
        <f aca="false">IF(AND(A61&gt;Допущения!$C$19,MIN(AI61:AI$65)&gt;0),A61,"")</f>
        <v/>
      </c>
      <c r="AQ61" s="21" t="str">
        <f aca="false">IF(MIN(AJ61:AJ$65)&gt;0,A61,"")</f>
        <v/>
      </c>
    </row>
    <row r="62" customFormat="false" ht="15" hidden="false" customHeight="false" outlineLevel="0" collapsed="false">
      <c r="A62" s="28" t="n">
        <v>57</v>
      </c>
      <c r="B62" s="28" t="n">
        <f aca="false">INT((A62-1)/12)+1</f>
        <v>5</v>
      </c>
      <c r="C62" s="12" t="s">
        <v>462</v>
      </c>
      <c r="D62" s="15" t="n">
        <f aca="false">(1+Допущения!$C$11)^(B62-1)</f>
        <v>1.36048896</v>
      </c>
      <c r="E62" s="15" t="n">
        <f aca="false">(1+Допущения!$C$12)^(B62-1)</f>
        <v>1.31079601</v>
      </c>
      <c r="F62" s="17" t="n">
        <f aca="false">Допущения!$C$71*E62</f>
        <v>3575.1699013548</v>
      </c>
      <c r="G62" s="17" t="n">
        <f aca="false">MIN(G61*(1+Допущения!$C$33),Допущения!$C$34)</f>
        <v>2500000</v>
      </c>
      <c r="H62" s="25" t="n">
        <f aca="false">MIN(Допущения!$C$30,G62/Допущения!$C$29)</f>
        <v>200</v>
      </c>
      <c r="I62" s="25" t="n">
        <f aca="false">MAX(0,G62-H62*Допущения!$C$29)/Допущения!$C$31</f>
        <v>293.333333333333</v>
      </c>
      <c r="J62" s="25" t="n">
        <f aca="false">IF(A62&gt;=Допущения!$C$35,Допущения!$C$36,0)</f>
        <v>20</v>
      </c>
      <c r="K62" s="25" t="n">
        <f aca="false">H62+I62+J62</f>
        <v>513.333333333333</v>
      </c>
      <c r="L62" s="25" t="n">
        <f aca="false">(L61-K61)*(1-Допущения!$C$44)+K61*(1-Допущения!$C$43)+K62</f>
        <v>4546.03760044292</v>
      </c>
      <c r="M62" s="25" t="n">
        <f aca="false">IF(A62&gt;=Допущения!$C$38,Допущения!$C$73/Допущения!$C$42*MIN(Допущения!$C$42,A62-Допущения!$C$38+1),0)</f>
        <v>20</v>
      </c>
      <c r="N62" s="25" t="n">
        <f aca="false">N61*(1-Допущения!$C$45)+M62</f>
        <v>635.780773017633</v>
      </c>
      <c r="O62" s="25" t="n">
        <f aca="false">L62+N62</f>
        <v>5181.81837346055</v>
      </c>
      <c r="P62" s="25" t="n">
        <f aca="false">L62*Допущения!$C$25</f>
        <v>681.905640066438</v>
      </c>
      <c r="Q62" s="25" t="n">
        <f aca="false">L62*(1-Допущения!$C$25)+N62</f>
        <v>4499.91273339412</v>
      </c>
      <c r="R62" s="17" t="n">
        <f aca="false">MAX(Допущения!$C$18,ROUNDUP(Q62/Допущения!$C$68+P62/Допущения!$C$69,0))</f>
        <v>63</v>
      </c>
      <c r="S62" s="17" t="n">
        <f aca="false">ROUNDUP(R62/Допущения!$C$48,0)</f>
        <v>6</v>
      </c>
      <c r="T62" s="17" t="n">
        <f aca="false">L62*F62/(1+Допущения!$C$6)</f>
        <v>13322013.7701072</v>
      </c>
      <c r="U62" s="17" t="n">
        <f aca="false">N62*Допущения!$C$28*E62/(1+Допущения!$C$6)</f>
        <v>1359363.94426836</v>
      </c>
      <c r="V62" s="17" t="n">
        <f aca="false">O62*Допущения!$C$26*Допущения!$C$27/(1+Допущения!$C$6)</f>
        <v>637108.816409085</v>
      </c>
      <c r="W62" s="17" t="n">
        <f aca="false">T62+U62+V62</f>
        <v>15318486.5307846</v>
      </c>
      <c r="X62" s="17" t="n">
        <f aca="false">J62*Допущения!$C$37</f>
        <v>10000</v>
      </c>
      <c r="Y62" s="17" t="n">
        <f aca="false">(R62*Допущения!$C$47+S62*Допущения!$C$49)*D62*Допущения!$C$9</f>
        <v>10096732.767744</v>
      </c>
      <c r="Z62" s="17" t="n">
        <f aca="false">(MAX(0,R62-R61)+R62*Допущения!$C$50/12)*Допущения!$C$51*D62</f>
        <v>149993.90784</v>
      </c>
      <c r="AA62" s="17" t="n">
        <f aca="false">O62*(Допущения!$C$53+Допущения!$C$54)+(L62*F62+N62*Допущения!$C$28*E62)*Допущения!$C$13</f>
        <v>2213766.76092079</v>
      </c>
      <c r="AB62" s="17" t="n">
        <f aca="false">(R62+S62)*Допущения!$C$52</f>
        <v>186300</v>
      </c>
      <c r="AC62" s="17" t="n">
        <f aca="false">SUMPRODUCT(Допущения!$B$84:$B$91,Допущения!$C$84:$C$91,--(Допущения!$D$84:$D$91&lt;=A62))*D62*Допущения!$C$9</f>
        <v>2674748.5051392</v>
      </c>
      <c r="AD62" s="17" t="n">
        <f aca="false">(AC62+Y62)*Допущения!$C$14</f>
        <v>1277148.12728832</v>
      </c>
      <c r="AE62" s="17" t="n">
        <f aca="false">Допущения!$C$55+Допущения!$C$56*O62/1000+Допущения!$C$57</f>
        <v>181454.546987684</v>
      </c>
      <c r="AF62" s="17" t="n">
        <f aca="false">SUMIF(Допущения!$B$95:$B$103,A62,Допущения!$C$95:$C$103)</f>
        <v>0</v>
      </c>
      <c r="AG62" s="17" t="n">
        <v>0</v>
      </c>
      <c r="AH62" s="17" t="n">
        <f aca="false">G62+SUM(X62:AG62)</f>
        <v>19290144.61592</v>
      </c>
      <c r="AI62" s="17" t="n">
        <f aca="false">W62-AH62</f>
        <v>-3971658.0851354</v>
      </c>
      <c r="AJ62" s="17" t="n">
        <f aca="false">AJ61+AI62</f>
        <v>-208583883.412935</v>
      </c>
      <c r="AK62" s="17" t="n">
        <f aca="false">O62*Допущения!$C$58*Допущения!$C$59</f>
        <v>85500.0031620991</v>
      </c>
      <c r="AL62" s="17" t="n">
        <f aca="false">T62*Допущения!$C$72</f>
        <v>671698.173282714</v>
      </c>
      <c r="AM62" s="17" t="n">
        <f aca="false">IF(MOD(A62,12)=0,INDEX($F$70:$F$74,B62),0)</f>
        <v>0</v>
      </c>
      <c r="AN62" s="17" t="n">
        <f aca="false">AI62-AM62</f>
        <v>-3971658.0851354</v>
      </c>
      <c r="AO62" s="26" t="n">
        <f aca="false">1/(1+Допущения!$C$74)^A62</f>
        <v>0.388857790610666</v>
      </c>
      <c r="AP62" s="21" t="str">
        <f aca="false">IF(AND(A62&gt;Допущения!$C$19,MIN(AI62:AI$65)&gt;0),A62,"")</f>
        <v/>
      </c>
      <c r="AQ62" s="21" t="str">
        <f aca="false">IF(MIN(AJ62:AJ$65)&gt;0,A62,"")</f>
        <v/>
      </c>
    </row>
    <row r="63" customFormat="false" ht="15" hidden="false" customHeight="false" outlineLevel="0" collapsed="false">
      <c r="A63" s="28" t="n">
        <v>58</v>
      </c>
      <c r="B63" s="28" t="n">
        <f aca="false">INT((A63-1)/12)+1</f>
        <v>5</v>
      </c>
      <c r="C63" s="12" t="s">
        <v>462</v>
      </c>
      <c r="D63" s="15" t="n">
        <f aca="false">(1+Допущения!$C$11)^(B63-1)</f>
        <v>1.36048896</v>
      </c>
      <c r="E63" s="15" t="n">
        <f aca="false">(1+Допущения!$C$12)^(B63-1)</f>
        <v>1.31079601</v>
      </c>
      <c r="F63" s="17" t="n">
        <f aca="false">Допущения!$C$71*E63</f>
        <v>3575.1699013548</v>
      </c>
      <c r="G63" s="17" t="n">
        <f aca="false">MIN(G62*(1+Допущения!$C$33),Допущения!$C$34)</f>
        <v>2500000</v>
      </c>
      <c r="H63" s="25" t="n">
        <f aca="false">MIN(Допущения!$C$30,G63/Допущения!$C$29)</f>
        <v>200</v>
      </c>
      <c r="I63" s="25" t="n">
        <f aca="false">MAX(0,G63-H63*Допущения!$C$29)/Допущения!$C$31</f>
        <v>293.333333333333</v>
      </c>
      <c r="J63" s="25" t="n">
        <f aca="false">IF(A63&gt;=Допущения!$C$35,Допущения!$C$36,0)</f>
        <v>20</v>
      </c>
      <c r="K63" s="25" t="n">
        <f aca="false">H63+I63+J63</f>
        <v>513.333333333333</v>
      </c>
      <c r="L63" s="25" t="n">
        <f aca="false">(L62-K62)*(1-Допущения!$C$44)+K62*(1-Допущения!$C$43)+K63</f>
        <v>4557.08792574082</v>
      </c>
      <c r="M63" s="25" t="n">
        <f aca="false">IF(A63&gt;=Допущения!$C$38,Допущения!$C$73/Допущения!$C$42*MIN(Допущения!$C$42,A63-Допущения!$C$38+1),0)</f>
        <v>20</v>
      </c>
      <c r="N63" s="25" t="n">
        <f aca="false">N62*(1-Допущения!$C$45)+M63</f>
        <v>643.06515755728</v>
      </c>
      <c r="O63" s="25" t="n">
        <f aca="false">L63+N63</f>
        <v>5200.1530832981</v>
      </c>
      <c r="P63" s="25" t="n">
        <f aca="false">L63*Допущения!$C$25</f>
        <v>683.563188861123</v>
      </c>
      <c r="Q63" s="25" t="n">
        <f aca="false">L63*(1-Допущения!$C$25)+N63</f>
        <v>4516.58989443698</v>
      </c>
      <c r="R63" s="17" t="n">
        <f aca="false">MAX(Допущения!$C$18,ROUNDUP(Q63/Допущения!$C$68+P63/Допущения!$C$69,0))</f>
        <v>64</v>
      </c>
      <c r="S63" s="17" t="n">
        <f aca="false">ROUNDUP(R63/Допущения!$C$48,0)</f>
        <v>6</v>
      </c>
      <c r="T63" s="17" t="n">
        <f aca="false">L63*F63/(1+Допущения!$C$6)</f>
        <v>13354396.3851934</v>
      </c>
      <c r="U63" s="17" t="n">
        <f aca="false">N63*Допущения!$C$28*E63/(1+Допущения!$C$6)</f>
        <v>1374938.69915184</v>
      </c>
      <c r="V63" s="17" t="n">
        <f aca="false">O63*Допущения!$C$26*Допущения!$C$27/(1+Допущения!$C$6)</f>
        <v>639363.084012062</v>
      </c>
      <c r="W63" s="17" t="n">
        <f aca="false">T63+U63+V63</f>
        <v>15368698.1683573</v>
      </c>
      <c r="X63" s="17" t="n">
        <f aca="false">J63*Допущения!$C$37</f>
        <v>10000</v>
      </c>
      <c r="Y63" s="17" t="n">
        <f aca="false">(R63*Допущения!$C$47+S63*Допущения!$C$49)*D63*Допущения!$C$9</f>
        <v>10238441.2978176</v>
      </c>
      <c r="Z63" s="17" t="n">
        <f aca="false">(MAX(0,R63-R62)+R63*Допущения!$C$50/12)*Допущения!$C$51*D63</f>
        <v>247608.99072</v>
      </c>
      <c r="AA63" s="17" t="n">
        <f aca="false">O63*(Допущения!$C$53+Допущения!$C$54)+(L63*F63+N63*Допущения!$C$28*E63)*Допущения!$C$13</f>
        <v>2221512.07385603</v>
      </c>
      <c r="AB63" s="17" t="n">
        <f aca="false">(R63+S63)*Допущения!$C$52</f>
        <v>189000</v>
      </c>
      <c r="AC63" s="17" t="n">
        <f aca="false">SUMPRODUCT(Допущения!$B$84:$B$91,Допущения!$C$84:$C$91,--(Допущения!$D$84:$D$91&lt;=A63))*D63*Допущения!$C$9</f>
        <v>2674748.5051392</v>
      </c>
      <c r="AD63" s="17" t="n">
        <f aca="false">(AC63+Y63)*Допущения!$C$14</f>
        <v>1291318.98029568</v>
      </c>
      <c r="AE63" s="17" t="n">
        <f aca="false">Допущения!$C$55+Допущения!$C$56*O63/1000+Допущения!$C$57</f>
        <v>181601.224666385</v>
      </c>
      <c r="AF63" s="17" t="n">
        <f aca="false">SUMIF(Допущения!$B$95:$B$103,A63,Допущения!$C$95:$C$103)</f>
        <v>0</v>
      </c>
      <c r="AG63" s="17" t="n">
        <v>0</v>
      </c>
      <c r="AH63" s="17" t="n">
        <f aca="false">G63+SUM(X63:AG63)</f>
        <v>19554231.0724949</v>
      </c>
      <c r="AI63" s="17" t="n">
        <f aca="false">W63-AH63</f>
        <v>-4185532.90413758</v>
      </c>
      <c r="AJ63" s="17" t="n">
        <f aca="false">AJ62+AI63</f>
        <v>-212769416.317073</v>
      </c>
      <c r="AK63" s="17" t="n">
        <f aca="false">O63*Допущения!$C$58*Допущения!$C$59</f>
        <v>85802.5258744187</v>
      </c>
      <c r="AL63" s="17" t="n">
        <f aca="false">T63*Допущения!$C$72</f>
        <v>673330.910177819</v>
      </c>
      <c r="AM63" s="17" t="n">
        <f aca="false">IF(MOD(A63,12)=0,INDEX($F$70:$F$74,B63),0)</f>
        <v>0</v>
      </c>
      <c r="AN63" s="17" t="n">
        <f aca="false">AI63-AM63</f>
        <v>-4185532.90413758</v>
      </c>
      <c r="AO63" s="26" t="n">
        <f aca="false">1/(1+Допущения!$C$74)^A63</f>
        <v>0.38246716064086</v>
      </c>
      <c r="AP63" s="21" t="str">
        <f aca="false">IF(AND(A63&gt;Допущения!$C$19,MIN(AI63:AI$65)&gt;0),A63,"")</f>
        <v/>
      </c>
      <c r="AQ63" s="21" t="str">
        <f aca="false">IF(MIN(AJ63:AJ$65)&gt;0,A63,"")</f>
        <v/>
      </c>
    </row>
    <row r="64" customFormat="false" ht="15" hidden="false" customHeight="false" outlineLevel="0" collapsed="false">
      <c r="A64" s="28" t="n">
        <v>59</v>
      </c>
      <c r="B64" s="28" t="n">
        <f aca="false">INT((A64-1)/12)+1</f>
        <v>5</v>
      </c>
      <c r="C64" s="12" t="s">
        <v>462</v>
      </c>
      <c r="D64" s="15" t="n">
        <f aca="false">(1+Допущения!$C$11)^(B64-1)</f>
        <v>1.36048896</v>
      </c>
      <c r="E64" s="15" t="n">
        <f aca="false">(1+Допущения!$C$12)^(B64-1)</f>
        <v>1.31079601</v>
      </c>
      <c r="F64" s="17" t="n">
        <f aca="false">Допущения!$C$71*E64</f>
        <v>3575.1699013548</v>
      </c>
      <c r="G64" s="17" t="n">
        <f aca="false">MIN(G63*(1+Допущения!$C$33),Допущения!$C$34)</f>
        <v>2500000</v>
      </c>
      <c r="H64" s="25" t="n">
        <f aca="false">MIN(Допущения!$C$30,G64/Допущения!$C$29)</f>
        <v>200</v>
      </c>
      <c r="I64" s="25" t="n">
        <f aca="false">MAX(0,G64-H64*Допущения!$C$29)/Допущения!$C$31</f>
        <v>293.333333333333</v>
      </c>
      <c r="J64" s="25" t="n">
        <f aca="false">IF(A64&gt;=Допущения!$C$35,Допущения!$C$36,0)</f>
        <v>20</v>
      </c>
      <c r="K64" s="25" t="n">
        <f aca="false">H64+I64+J64</f>
        <v>513.333333333333</v>
      </c>
      <c r="L64" s="25" t="n">
        <f aca="false">(L63-K63)*(1-Допущения!$C$44)+K63*(1-Допущения!$C$43)+K64</f>
        <v>4567.25422501489</v>
      </c>
      <c r="M64" s="25" t="n">
        <f aca="false">IF(A64&gt;=Допущения!$C$38,Допущения!$C$73/Допущения!$C$42*MIN(Допущения!$C$42,A64-Допущения!$C$38+1),0)</f>
        <v>20</v>
      </c>
      <c r="N64" s="25" t="n">
        <f aca="false">N63*(1-Допущения!$C$45)+M64</f>
        <v>650.203854406135</v>
      </c>
      <c r="O64" s="25" t="n">
        <f aca="false">L64+N64</f>
        <v>5217.45807942102</v>
      </c>
      <c r="P64" s="25" t="n">
        <f aca="false">L64*Допущения!$C$25</f>
        <v>685.088133752233</v>
      </c>
      <c r="Q64" s="25" t="n">
        <f aca="false">L64*(1-Допущения!$C$25)+N64</f>
        <v>4532.36994566879</v>
      </c>
      <c r="R64" s="17" t="n">
        <f aca="false">MAX(Допущения!$C$18,ROUNDUP(Q64/Допущения!$C$68+P64/Допущения!$C$69,0))</f>
        <v>64</v>
      </c>
      <c r="S64" s="17" t="n">
        <f aca="false">ROUNDUP(R64/Допущения!$C$48,0)</f>
        <v>6</v>
      </c>
      <c r="T64" s="17" t="n">
        <f aca="false">L64*F64/(1+Допущения!$C$6)</f>
        <v>13384188.3910728</v>
      </c>
      <c r="U64" s="17" t="n">
        <f aca="false">N64*Допущения!$C$28*E64/(1+Допущения!$C$6)</f>
        <v>1390201.95893766</v>
      </c>
      <c r="V64" s="17" t="n">
        <f aca="false">O64*Допущения!$C$26*Допущения!$C$27/(1+Допущения!$C$6)</f>
        <v>641490.747469798</v>
      </c>
      <c r="W64" s="17" t="n">
        <f aca="false">T64+U64+V64</f>
        <v>15415881.0974802</v>
      </c>
      <c r="X64" s="17" t="n">
        <f aca="false">J64*Допущения!$C$37</f>
        <v>10000</v>
      </c>
      <c r="Y64" s="17" t="n">
        <f aca="false">(R64*Допущения!$C$47+S64*Допущения!$C$49)*D64*Допущения!$C$9</f>
        <v>10238441.2978176</v>
      </c>
      <c r="Z64" s="17" t="n">
        <f aca="false">(MAX(0,R64-R63)+R64*Допущения!$C$50/12)*Допущения!$C$51*D64</f>
        <v>152374.76352</v>
      </c>
      <c r="AA64" s="17" t="n">
        <f aca="false">O64*(Допущения!$C$53+Допущения!$C$54)+(L64*F64+N64*Допущения!$C$28*E64)*Допущения!$C$13</f>
        <v>2228817.8110749</v>
      </c>
      <c r="AB64" s="17" t="n">
        <f aca="false">(R64+S64)*Допущения!$C$52</f>
        <v>189000</v>
      </c>
      <c r="AC64" s="17" t="n">
        <f aca="false">SUMPRODUCT(Допущения!$B$84:$B$91,Допущения!$C$84:$C$91,--(Допущения!$D$84:$D$91&lt;=A64))*D64*Допущения!$C$9</f>
        <v>2674748.5051392</v>
      </c>
      <c r="AD64" s="17" t="n">
        <f aca="false">(AC64+Y64)*Допущения!$C$14</f>
        <v>1291318.98029568</v>
      </c>
      <c r="AE64" s="17" t="n">
        <f aca="false">Допущения!$C$55+Допущения!$C$56*O64/1000+Допущения!$C$57</f>
        <v>181739.664635368</v>
      </c>
      <c r="AF64" s="17" t="n">
        <f aca="false">SUMIF(Допущения!$B$95:$B$103,A64,Допущения!$C$95:$C$103)</f>
        <v>0</v>
      </c>
      <c r="AG64" s="17" t="n">
        <v>0</v>
      </c>
      <c r="AH64" s="17" t="n">
        <f aca="false">G64+SUM(X64:AG64)</f>
        <v>19466441.0224828</v>
      </c>
      <c r="AI64" s="17" t="n">
        <f aca="false">W64-AH64</f>
        <v>-4050559.92500253</v>
      </c>
      <c r="AJ64" s="17" t="n">
        <f aca="false">AJ63+AI64</f>
        <v>-216819976.242075</v>
      </c>
      <c r="AK64" s="17" t="n">
        <f aca="false">O64*Допущения!$C$58*Допущения!$C$59</f>
        <v>86088.0583104469</v>
      </c>
      <c r="AL64" s="17" t="n">
        <f aca="false">T64*Допущения!$C$72</f>
        <v>674833.028121316</v>
      </c>
      <c r="AM64" s="17" t="n">
        <f aca="false">IF(MOD(A64,12)=0,INDEX($F$70:$F$74,B64),0)</f>
        <v>0</v>
      </c>
      <c r="AN64" s="17" t="n">
        <f aca="false">AI64-AM64</f>
        <v>-4050559.92500253</v>
      </c>
      <c r="AO64" s="26" t="n">
        <f aca="false">1/(1+Допущения!$C$74)^A64</f>
        <v>0.376181556601862</v>
      </c>
      <c r="AP64" s="21" t="str">
        <f aca="false">IF(AND(A64&gt;Допущения!$C$19,MIN(AI64:AI$65)&gt;0),A64,"")</f>
        <v/>
      </c>
      <c r="AQ64" s="21" t="str">
        <f aca="false">IF(MIN(AJ64:AJ$65)&gt;0,A64,"")</f>
        <v/>
      </c>
    </row>
    <row r="65" customFormat="false" ht="15" hidden="false" customHeight="false" outlineLevel="0" collapsed="false">
      <c r="A65" s="28" t="n">
        <v>60</v>
      </c>
      <c r="B65" s="28" t="n">
        <f aca="false">INT((A65-1)/12)+1</f>
        <v>5</v>
      </c>
      <c r="C65" s="12" t="s">
        <v>462</v>
      </c>
      <c r="D65" s="15" t="n">
        <f aca="false">(1+Допущения!$C$11)^(B65-1)</f>
        <v>1.36048896</v>
      </c>
      <c r="E65" s="15" t="n">
        <f aca="false">(1+Допущения!$C$12)^(B65-1)</f>
        <v>1.31079601</v>
      </c>
      <c r="F65" s="17" t="n">
        <f aca="false">Допущения!$C$71*E65</f>
        <v>3575.1699013548</v>
      </c>
      <c r="G65" s="17" t="n">
        <f aca="false">MIN(G64*(1+Допущения!$C$33),Допущения!$C$34)</f>
        <v>2500000</v>
      </c>
      <c r="H65" s="25" t="n">
        <f aca="false">MIN(Допущения!$C$30,G65/Допущения!$C$29)</f>
        <v>200</v>
      </c>
      <c r="I65" s="25" t="n">
        <f aca="false">MAX(0,G65-H65*Допущения!$C$29)/Допущения!$C$31</f>
        <v>293.333333333333</v>
      </c>
      <c r="J65" s="25" t="n">
        <f aca="false">IF(A65&gt;=Допущения!$C$35,Допущения!$C$36,0)</f>
        <v>20</v>
      </c>
      <c r="K65" s="25" t="n">
        <f aca="false">H65+I65+J65</f>
        <v>513.333333333333</v>
      </c>
      <c r="L65" s="25" t="n">
        <f aca="false">(L64-K64)*(1-Допущения!$C$44)+K64*(1-Допущения!$C$43)+K65</f>
        <v>4576.60722034703</v>
      </c>
      <c r="M65" s="25" t="n">
        <f aca="false">IF(A65&gt;=Допущения!$C$38,Допущения!$C$73/Допущения!$C$42*MIN(Допущения!$C$42,A65-Допущения!$C$38+1),0)</f>
        <v>20</v>
      </c>
      <c r="N65" s="25" t="n">
        <f aca="false">N64*(1-Допущения!$C$45)+M65</f>
        <v>657.199777318012</v>
      </c>
      <c r="O65" s="25" t="n">
        <f aca="false">L65+N65</f>
        <v>5233.80699766504</v>
      </c>
      <c r="P65" s="25" t="n">
        <f aca="false">L65*Допущения!$C$25</f>
        <v>686.491083052055</v>
      </c>
      <c r="Q65" s="25" t="n">
        <f aca="false">L65*(1-Допущения!$C$25)+N65</f>
        <v>4547.31591461299</v>
      </c>
      <c r="R65" s="17" t="n">
        <f aca="false">MAX(Допущения!$C$18,ROUNDUP(Q65/Допущения!$C$68+P65/Допущения!$C$69,0))</f>
        <v>64</v>
      </c>
      <c r="S65" s="17" t="n">
        <f aca="false">ROUNDUP(R65/Допущения!$C$48,0)</f>
        <v>6</v>
      </c>
      <c r="T65" s="17" t="n">
        <f aca="false">L65*F65/(1+Допущения!$C$6)</f>
        <v>13411597.0364818</v>
      </c>
      <c r="U65" s="17" t="n">
        <f aca="false">N65*Допущения!$C$28*E65/(1+Допущения!$C$6)</f>
        <v>1405159.95352776</v>
      </c>
      <c r="V65" s="17" t="n">
        <f aca="false">O65*Допущения!$C$26*Допущения!$C$27/(1+Допущения!$C$6)</f>
        <v>643500.860368653</v>
      </c>
      <c r="W65" s="17" t="n">
        <f aca="false">T65+U65+V65</f>
        <v>15460257.8503782</v>
      </c>
      <c r="X65" s="17" t="n">
        <f aca="false">J65*Допущения!$C$37</f>
        <v>10000</v>
      </c>
      <c r="Y65" s="17" t="n">
        <f aca="false">(R65*Допущения!$C$47+S65*Допущения!$C$49)*D65*Допущения!$C$9</f>
        <v>10238441.2978176</v>
      </c>
      <c r="Z65" s="17" t="n">
        <f aca="false">(MAX(0,R65-R64)+R65*Допущения!$C$50/12)*Допущения!$C$51*D65</f>
        <v>152374.76352</v>
      </c>
      <c r="AA65" s="17" t="n">
        <f aca="false">O65*(Допущения!$C$53+Допущения!$C$54)+(L65*F65+N65*Допущения!$C$28*E65)*Допущения!$C$13</f>
        <v>2235715.53764835</v>
      </c>
      <c r="AB65" s="17" t="n">
        <f aca="false">(R65+S65)*Допущения!$C$52</f>
        <v>189000</v>
      </c>
      <c r="AC65" s="17" t="n">
        <f aca="false">SUMPRODUCT(Допущения!$B$84:$B$91,Допущения!$C$84:$C$91,--(Допущения!$D$84:$D$91&lt;=A65))*D65*Допущения!$C$9</f>
        <v>2674748.5051392</v>
      </c>
      <c r="AD65" s="17" t="n">
        <f aca="false">(AC65+Y65)*Допущения!$C$14</f>
        <v>1291318.98029568</v>
      </c>
      <c r="AE65" s="17" t="n">
        <f aca="false">Допущения!$C$55+Допущения!$C$56*O65/1000+Допущения!$C$57</f>
        <v>181870.45598132</v>
      </c>
      <c r="AF65" s="17" t="n">
        <f aca="false">SUMIF(Допущения!$B$95:$B$103,A65,Допущения!$C$95:$C$103)</f>
        <v>0</v>
      </c>
      <c r="AG65" s="17" t="n">
        <v>0</v>
      </c>
      <c r="AH65" s="17" t="n">
        <f aca="false">G65+SUM(X65:AG65)</f>
        <v>19473469.5404022</v>
      </c>
      <c r="AI65" s="17" t="n">
        <f aca="false">W65-AH65</f>
        <v>-4013211.69002397</v>
      </c>
      <c r="AJ65" s="17" t="n">
        <f aca="false">AJ64+AI65</f>
        <v>-220833187.932099</v>
      </c>
      <c r="AK65" s="17" t="n">
        <f aca="false">O65*Допущения!$C$58*Допущения!$C$59</f>
        <v>86357.8154614732</v>
      </c>
      <c r="AL65" s="17" t="n">
        <f aca="false">T65*Допущения!$C$72</f>
        <v>676214.976629333</v>
      </c>
      <c r="AM65" s="17" t="n">
        <f aca="false">IF(MOD(A65,12)=0,INDEX($F$70:$F$74,B65),0)</f>
        <v>0</v>
      </c>
      <c r="AN65" s="17" t="n">
        <f aca="false">AI65-AM65</f>
        <v>-4013211.69002397</v>
      </c>
      <c r="AO65" s="26" t="n">
        <f aca="false">1/(1+Допущения!$C$74)^A65</f>
        <v>0.369999252459433</v>
      </c>
      <c r="AP65" s="21" t="str">
        <f aca="false">IF(AND(A65&gt;Допущения!$C$19,MIN(AI65:AI$65)&gt;0),A65,"")</f>
        <v/>
      </c>
      <c r="AQ65" s="21" t="str">
        <f aca="false">IF(MIN(AJ65:AJ$65)&gt;0,A65,"")</f>
        <v/>
      </c>
    </row>
    <row r="68" customFormat="false" ht="15" hidden="false" customHeight="false" outlineLevel="0" collapsed="false">
      <c r="A68" s="6" t="s">
        <v>463</v>
      </c>
    </row>
    <row r="69" customFormat="false" ht="48" hidden="false" customHeight="true" outlineLevel="0" collapsed="false">
      <c r="A69" s="11" t="s">
        <v>419</v>
      </c>
      <c r="B69" s="11" t="s">
        <v>464</v>
      </c>
      <c r="C69" s="11" t="s">
        <v>452</v>
      </c>
      <c r="D69" s="11" t="s">
        <v>465</v>
      </c>
      <c r="E69" s="11" t="s">
        <v>466</v>
      </c>
      <c r="F69" s="11" t="s">
        <v>456</v>
      </c>
      <c r="G69" s="11" t="s">
        <v>467</v>
      </c>
      <c r="H69" s="11" t="s">
        <v>468</v>
      </c>
    </row>
    <row r="70" customFormat="false" ht="15" hidden="false" customHeight="false" outlineLevel="0" collapsed="false">
      <c r="A70" s="28" t="n">
        <v>1</v>
      </c>
      <c r="B70" s="17" t="n">
        <f aca="false">SUMIF($B$6:$B$65,A70,$W$6:$W$65)</f>
        <v>18779931.1893627</v>
      </c>
      <c r="C70" s="17" t="n">
        <f aca="false">SUMIF($B$6:$B$65,A70,$AI$6:$AI$65)</f>
        <v>-32670499.1453407</v>
      </c>
      <c r="D70" s="17" t="n">
        <v>0</v>
      </c>
      <c r="E70" s="17" t="n">
        <f aca="false">IF(C70&gt;0,MIN(D70,C70*Допущения!$C$8),0)</f>
        <v>0</v>
      </c>
      <c r="F70" s="17" t="n">
        <f aca="false">IF(C70&gt;0,(C70-E70)*Допущения!$C$7,0)</f>
        <v>0</v>
      </c>
      <c r="G70" s="17" t="n">
        <f aca="false">D70+IF(C70&lt;0,-C70,0)-E70</f>
        <v>32670499.1453407</v>
      </c>
      <c r="H70" s="17" t="n">
        <f aca="false">SUMIF($B$6:$B$65,A70,$AK$6:$AK$65)</f>
        <v>130590.850409227</v>
      </c>
    </row>
    <row r="71" customFormat="false" ht="15" hidden="false" customHeight="false" outlineLevel="0" collapsed="false">
      <c r="A71" s="28" t="n">
        <v>2</v>
      </c>
      <c r="B71" s="17" t="n">
        <f aca="false">SUMIF($B$6:$B$65,A71,$W$6:$W$65)</f>
        <v>64939174.8613855</v>
      </c>
      <c r="C71" s="17" t="n">
        <f aca="false">SUMIF($B$6:$B$65,A71,$AI$6:$AI$65)</f>
        <v>-40397406.6714149</v>
      </c>
      <c r="D71" s="17" t="n">
        <f aca="false">G70</f>
        <v>32670499.1453407</v>
      </c>
      <c r="E71" s="17" t="n">
        <f aca="false">IF(C71&gt;0,MIN(D71,C71*Допущения!$C$8),0)</f>
        <v>0</v>
      </c>
      <c r="F71" s="17" t="n">
        <f aca="false">IF(C71&gt;0,(C71-E71)*Допущения!$C$7,0)</f>
        <v>0</v>
      </c>
      <c r="G71" s="17" t="n">
        <f aca="false">D71+IF(C71&lt;0,-C71,0)-E71</f>
        <v>73067905.8167556</v>
      </c>
      <c r="H71" s="17" t="n">
        <f aca="false">SUMIF($B$6:$B$65,A71,$AK$6:$AK$65)</f>
        <v>436480.691469278</v>
      </c>
    </row>
    <row r="72" customFormat="false" ht="15" hidden="false" customHeight="false" outlineLevel="0" collapsed="false">
      <c r="A72" s="28" t="n">
        <v>3</v>
      </c>
      <c r="B72" s="17" t="n">
        <f aca="false">SUMIF($B$6:$B$65,A72,$W$6:$W$65)</f>
        <v>117634139.72956</v>
      </c>
      <c r="C72" s="17" t="n">
        <f aca="false">SUMIF($B$6:$B$65,A72,$AI$6:$AI$65)</f>
        <v>-50659678.9983035</v>
      </c>
      <c r="D72" s="17" t="n">
        <f aca="false">G71</f>
        <v>73067905.8167556</v>
      </c>
      <c r="E72" s="17" t="n">
        <f aca="false">IF(C72&gt;0,MIN(D72,C72*Допущения!$C$8),0)</f>
        <v>0</v>
      </c>
      <c r="F72" s="17" t="n">
        <f aca="false">IF(C72&gt;0,(C72-E72)*Допущения!$C$7,0)</f>
        <v>0</v>
      </c>
      <c r="G72" s="17" t="n">
        <f aca="false">D72+IF(C72&lt;0,-C72,0)-E72</f>
        <v>123727584.815059</v>
      </c>
      <c r="H72" s="17" t="n">
        <f aca="false">SUMIF($B$6:$B$65,A72,$AK$6:$AK$65)</f>
        <v>742781.956544448</v>
      </c>
    </row>
    <row r="73" customFormat="false" ht="15" hidden="false" customHeight="false" outlineLevel="0" collapsed="false">
      <c r="A73" s="28" t="n">
        <v>4</v>
      </c>
      <c r="B73" s="17" t="n">
        <f aca="false">SUMIF($B$6:$B$65,A73,$W$6:$W$65)</f>
        <v>157295926.742627</v>
      </c>
      <c r="C73" s="17" t="n">
        <f aca="false">SUMIF($B$6:$B$65,A73,$AI$6:$AI$65)</f>
        <v>-48137364.5438388</v>
      </c>
      <c r="D73" s="17" t="n">
        <f aca="false">G72</f>
        <v>123727584.815059</v>
      </c>
      <c r="E73" s="17" t="n">
        <f aca="false">IF(C73&gt;0,MIN(D73,C73*Допущения!$C$8),0)</f>
        <v>0</v>
      </c>
      <c r="F73" s="17" t="n">
        <f aca="false">IF(C73&gt;0,(C73-E73)*Допущения!$C$7,0)</f>
        <v>0</v>
      </c>
      <c r="G73" s="17" t="n">
        <f aca="false">D73+IF(C73&lt;0,-C73,0)-E73</f>
        <v>171864949.358898</v>
      </c>
      <c r="H73" s="17" t="n">
        <f aca="false">SUMIF($B$6:$B$65,A73,$AK$6:$AK$65)</f>
        <v>933098.653637037</v>
      </c>
    </row>
    <row r="74" customFormat="false" ht="15" hidden="false" customHeight="false" outlineLevel="0" collapsed="false">
      <c r="A74" s="28" t="n">
        <v>5</v>
      </c>
      <c r="B74" s="17" t="n">
        <f aca="false">SUMIF($B$6:$B$65,A74,$W$6:$W$65)</f>
        <v>181850107.693038</v>
      </c>
      <c r="C74" s="17" t="n">
        <f aca="false">SUMIF($B$6:$B$65,A74,$AI$6:$AI$65)</f>
        <v>-48968238.5732015</v>
      </c>
      <c r="D74" s="17" t="n">
        <f aca="false">G73</f>
        <v>171864949.358898</v>
      </c>
      <c r="E74" s="17" t="n">
        <f aca="false">IF(C74&gt;0,MIN(D74,C74*Допущения!$C$8),0)</f>
        <v>0</v>
      </c>
      <c r="F74" s="17" t="n">
        <f aca="false">IF(C74&gt;0,(C74-E74)*Допущения!$C$7,0)</f>
        <v>0</v>
      </c>
      <c r="G74" s="17" t="n">
        <f aca="false">D74+IF(C74&lt;0,-C74,0)-E74</f>
        <v>220833187.932099</v>
      </c>
      <c r="H74" s="17" t="n">
        <f aca="false">SUMIF($B$6:$B$65,A74,$AK$6:$AK$65)</f>
        <v>1014327.87441803</v>
      </c>
    </row>
    <row r="75" customFormat="false" ht="15" hidden="false" customHeight="false" outlineLevel="0" collapsed="false">
      <c r="A75" s="3" t="s">
        <v>212</v>
      </c>
      <c r="B75" s="30" t="n">
        <f aca="false">SUM(B70:B74)</f>
        <v>540499280.215973</v>
      </c>
      <c r="C75" s="30" t="n">
        <f aca="false">SUM(C70:C74)</f>
        <v>-220833187.932099</v>
      </c>
      <c r="D75" s="4"/>
      <c r="E75" s="4"/>
      <c r="F75" s="30" t="n">
        <f aca="false">SUM(F70:F74)</f>
        <v>0</v>
      </c>
      <c r="G75" s="4"/>
      <c r="H75" s="30" t="n">
        <f aca="false">SUM(H70:H74)</f>
        <v>3257280.02647802</v>
      </c>
    </row>
  </sheetData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&amp;C&amp;"Times New Roman"Лист &amp;P из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5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18" min="11" style="0" width="10"/>
    <col collapsed="false" customWidth="true" hidden="false" outlineLevel="0" max="19" min="19" style="0" width="9"/>
    <col collapsed="false" customWidth="true" hidden="false" outlineLevel="0" max="21" min="20" style="0" width="13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25" min="25" style="0" width="13"/>
    <col collapsed="false" customWidth="true" hidden="false" outlineLevel="0" max="27" min="26" style="0" width="12"/>
    <col collapsed="false" customWidth="true" hidden="false" outlineLevel="0" max="28" min="28" style="0" width="11"/>
    <col collapsed="false" customWidth="true" hidden="false" outlineLevel="0" max="29" min="29" style="0" width="13"/>
    <col collapsed="false" customWidth="true" hidden="false" outlineLevel="0" max="33" min="30" style="0" width="12"/>
    <col collapsed="false" customWidth="true" hidden="false" outlineLevel="0" max="35" min="34" style="0" width="13"/>
    <col collapsed="false" customWidth="true" hidden="false" outlineLevel="0" max="36" min="36" style="0" width="14"/>
    <col collapsed="false" customWidth="true" hidden="false" outlineLevel="0" max="39" min="37" style="0" width="12"/>
    <col collapsed="false" customWidth="true" hidden="false" outlineLevel="0" max="40" min="40" style="0" width="13"/>
    <col collapsed="false" customWidth="true" hidden="false" outlineLevel="0" max="43" min="41" style="0" width="11"/>
  </cols>
  <sheetData>
    <row r="1" customFormat="false" ht="17.35" hidden="false" customHeight="false" outlineLevel="0" collapsed="false">
      <c r="A1" s="10" t="s">
        <v>469</v>
      </c>
    </row>
    <row r="2" customFormat="false" ht="15" hidden="false" customHeight="false" outlineLevel="0" collapsed="false">
      <c r="A2" s="2" t="s">
        <v>418</v>
      </c>
    </row>
    <row r="5" customFormat="false" ht="61.5" hidden="false" customHeight="true" outlineLevel="0" collapsed="false">
      <c r="A5" s="11" t="s">
        <v>207</v>
      </c>
      <c r="B5" s="11" t="s">
        <v>419</v>
      </c>
      <c r="C5" s="11" t="s">
        <v>420</v>
      </c>
      <c r="D5" s="11" t="s">
        <v>421</v>
      </c>
      <c r="E5" s="11" t="s">
        <v>422</v>
      </c>
      <c r="F5" s="11" t="s">
        <v>423</v>
      </c>
      <c r="G5" s="11" t="s">
        <v>424</v>
      </c>
      <c r="H5" s="11" t="s">
        <v>425</v>
      </c>
      <c r="I5" s="11" t="s">
        <v>426</v>
      </c>
      <c r="J5" s="11" t="s">
        <v>427</v>
      </c>
      <c r="K5" s="11" t="s">
        <v>428</v>
      </c>
      <c r="L5" s="11" t="s">
        <v>429</v>
      </c>
      <c r="M5" s="11" t="s">
        <v>430</v>
      </c>
      <c r="N5" s="11" t="s">
        <v>431</v>
      </c>
      <c r="O5" s="11" t="s">
        <v>432</v>
      </c>
      <c r="P5" s="11" t="s">
        <v>433</v>
      </c>
      <c r="Q5" s="11" t="s">
        <v>434</v>
      </c>
      <c r="R5" s="11" t="s">
        <v>435</v>
      </c>
      <c r="S5" s="11" t="s">
        <v>436</v>
      </c>
      <c r="T5" s="11" t="s">
        <v>437</v>
      </c>
      <c r="U5" s="11" t="s">
        <v>438</v>
      </c>
      <c r="V5" s="11" t="s">
        <v>439</v>
      </c>
      <c r="W5" s="11" t="s">
        <v>440</v>
      </c>
      <c r="X5" s="11" t="s">
        <v>441</v>
      </c>
      <c r="Y5" s="11" t="s">
        <v>442</v>
      </c>
      <c r="Z5" s="11" t="s">
        <v>443</v>
      </c>
      <c r="AA5" s="11" t="s">
        <v>444</v>
      </c>
      <c r="AB5" s="11" t="s">
        <v>445</v>
      </c>
      <c r="AC5" s="11" t="s">
        <v>446</v>
      </c>
      <c r="AD5" s="11" t="s">
        <v>447</v>
      </c>
      <c r="AE5" s="11" t="s">
        <v>448</v>
      </c>
      <c r="AF5" s="11" t="s">
        <v>449</v>
      </c>
      <c r="AG5" s="11" t="s">
        <v>450</v>
      </c>
      <c r="AH5" s="11" t="s">
        <v>451</v>
      </c>
      <c r="AI5" s="11" t="s">
        <v>452</v>
      </c>
      <c r="AJ5" s="11" t="s">
        <v>453</v>
      </c>
      <c r="AK5" s="11" t="s">
        <v>454</v>
      </c>
      <c r="AL5" s="11" t="s">
        <v>455</v>
      </c>
      <c r="AM5" s="11" t="s">
        <v>456</v>
      </c>
      <c r="AN5" s="11" t="s">
        <v>457</v>
      </c>
      <c r="AO5" s="11" t="s">
        <v>458</v>
      </c>
      <c r="AP5" s="11" t="s">
        <v>459</v>
      </c>
      <c r="AQ5" s="11" t="s">
        <v>460</v>
      </c>
    </row>
    <row r="6" customFormat="false" ht="15" hidden="false" customHeight="false" outlineLevel="0" collapsed="false">
      <c r="A6" s="28" t="n">
        <v>1</v>
      </c>
      <c r="B6" s="28" t="n">
        <f aca="false">INT((A6-1)/12)+1</f>
        <v>1</v>
      </c>
      <c r="C6" s="12" t="s">
        <v>461</v>
      </c>
      <c r="D6" s="15" t="n">
        <f aca="false">(1+Допущения!$D$11)^(B6-1)</f>
        <v>1</v>
      </c>
      <c r="E6" s="15" t="n">
        <f aca="false">(1+Допущения!$D$12)^(B6-1)</f>
        <v>1</v>
      </c>
      <c r="F6" s="17" t="n">
        <f aca="false">Допущения!$D$71*E6</f>
        <v>2965.48</v>
      </c>
      <c r="G6" s="17" t="n">
        <v>0</v>
      </c>
      <c r="H6" s="25" t="n">
        <v>0</v>
      </c>
      <c r="I6" s="25" t="n">
        <v>0</v>
      </c>
      <c r="J6" s="25" t="n">
        <v>0</v>
      </c>
      <c r="K6" s="25" t="n">
        <f aca="false">Допущения!$B$78-0</f>
        <v>0</v>
      </c>
      <c r="L6" s="25" t="n">
        <f aca="false">Допущения!$B$78</f>
        <v>0</v>
      </c>
      <c r="M6" s="25" t="n">
        <v>0</v>
      </c>
      <c r="N6" s="25" t="n">
        <v>0</v>
      </c>
      <c r="O6" s="25" t="n">
        <f aca="false">L6+N6</f>
        <v>0</v>
      </c>
      <c r="P6" s="25" t="n">
        <f aca="false">L6*Допущения!$D$25</f>
        <v>0</v>
      </c>
      <c r="Q6" s="25" t="n">
        <f aca="false">L6*(1-Допущения!$D$25)+N6</f>
        <v>0</v>
      </c>
      <c r="R6" s="17" t="n">
        <f aca="false">IF(A6&gt;1,Допущения!$D$18,0)</f>
        <v>0</v>
      </c>
      <c r="S6" s="17" t="n">
        <v>0</v>
      </c>
      <c r="T6" s="17" t="n">
        <f aca="false">L6*Допущения!$D$60*F6/(1+Допущения!$D$6)</f>
        <v>0</v>
      </c>
      <c r="U6" s="17" t="n">
        <f aca="false">N6*Допущения!$D$28*E6/(1+Допущения!$D$6)</f>
        <v>0</v>
      </c>
      <c r="V6" s="17" t="n">
        <f aca="false">O6*Допущения!$D$26*Допущения!$D$27/(1+Допущения!$D$6)</f>
        <v>0</v>
      </c>
      <c r="W6" s="17" t="n">
        <f aca="false">T6+U6+V6</f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f aca="false">'Бюджет MVP'!$G$33/Допущения!$D$19</f>
        <v>1624654.66666667</v>
      </c>
      <c r="AH6" s="17" t="n">
        <f aca="false">G6+SUM(X6:AG6)</f>
        <v>1624654.66666667</v>
      </c>
      <c r="AI6" s="17" t="n">
        <f aca="false">W6-AH6</f>
        <v>-1624654.66666667</v>
      </c>
      <c r="AJ6" s="17" t="n">
        <f aca="false">AI6</f>
        <v>-1624654.66666667</v>
      </c>
      <c r="AK6" s="17" t="n">
        <v>0</v>
      </c>
      <c r="AL6" s="17" t="n">
        <f aca="false">T6*Допущения!$D$72</f>
        <v>0</v>
      </c>
      <c r="AM6" s="17" t="n">
        <f aca="false">IF(MOD(A6,12)=0,INDEX($F$70:$F$74,B6),0)</f>
        <v>0</v>
      </c>
      <c r="AN6" s="17" t="n">
        <f aca="false">AI6-AM6</f>
        <v>-1624654.66666667</v>
      </c>
      <c r="AO6" s="26" t="n">
        <f aca="false">1/(1+Допущения!$D$74)^A6</f>
        <v>0.983565637299512</v>
      </c>
      <c r="AP6" s="21" t="str">
        <f aca="false">IF(AND(A6&gt;Допущения!$D$19,MIN(AI6:AI$65)&gt;0),A6,"")</f>
        <v/>
      </c>
      <c r="AQ6" s="21" t="str">
        <f aca="false">IF(MIN(AJ6:AJ$65)&gt;0,A6,"")</f>
        <v/>
      </c>
    </row>
    <row r="7" customFormat="false" ht="15" hidden="false" customHeight="false" outlineLevel="0" collapsed="false">
      <c r="A7" s="28" t="n">
        <v>2</v>
      </c>
      <c r="B7" s="28" t="n">
        <f aca="false">INT((A7-1)/12)+1</f>
        <v>1</v>
      </c>
      <c r="C7" s="12" t="s">
        <v>461</v>
      </c>
      <c r="D7" s="15" t="n">
        <f aca="false">(1+Допущения!$D$11)^(B7-1)</f>
        <v>1</v>
      </c>
      <c r="E7" s="15" t="n">
        <f aca="false">(1+Допущения!$D$12)^(B7-1)</f>
        <v>1</v>
      </c>
      <c r="F7" s="17" t="n">
        <f aca="false">Допущения!$D$71*E7</f>
        <v>2965.48</v>
      </c>
      <c r="G7" s="17" t="n">
        <v>0</v>
      </c>
      <c r="H7" s="25" t="n">
        <v>0</v>
      </c>
      <c r="I7" s="25" t="n">
        <v>0</v>
      </c>
      <c r="J7" s="25" t="n">
        <v>0</v>
      </c>
      <c r="K7" s="25" t="n">
        <f aca="false">Допущения!$B$79-Допущения!$B$78</f>
        <v>50</v>
      </c>
      <c r="L7" s="25" t="n">
        <f aca="false">Допущения!$B$79</f>
        <v>50</v>
      </c>
      <c r="M7" s="25" t="n">
        <v>0</v>
      </c>
      <c r="N7" s="25" t="n">
        <v>0</v>
      </c>
      <c r="O7" s="25" t="n">
        <f aca="false">L7+N7</f>
        <v>50</v>
      </c>
      <c r="P7" s="25" t="n">
        <f aca="false">L7*Допущения!$D$25</f>
        <v>12.5</v>
      </c>
      <c r="Q7" s="25" t="n">
        <f aca="false">L7*(1-Допущения!$D$25)+N7</f>
        <v>37.5</v>
      </c>
      <c r="R7" s="17" t="n">
        <f aca="false">IF(A7&gt;1,Допущения!$D$18,0)</f>
        <v>3</v>
      </c>
      <c r="S7" s="17" t="n">
        <v>0</v>
      </c>
      <c r="T7" s="17" t="n">
        <f aca="false">L7*Допущения!$D$60*F7/(1+Допущения!$D$6)</f>
        <v>72921.6393442623</v>
      </c>
      <c r="U7" s="17" t="n">
        <f aca="false">N7*Допущения!$D$28*E7/(1+Допущения!$D$6)</f>
        <v>0</v>
      </c>
      <c r="V7" s="17" t="n">
        <f aca="false">O7*Допущения!$D$26*Допущения!$D$27/(1+Допущения!$D$6)</f>
        <v>6147.54098360656</v>
      </c>
      <c r="W7" s="17" t="n">
        <f aca="false">T7+U7+V7</f>
        <v>79069.1803278689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f aca="false">'Бюджет MVP'!$G$33/Допущения!$D$19</f>
        <v>1624654.66666667</v>
      </c>
      <c r="AH7" s="17" t="n">
        <f aca="false">G7+SUM(X7:AG7)</f>
        <v>1624654.66666667</v>
      </c>
      <c r="AI7" s="17" t="n">
        <f aca="false">W7-AH7</f>
        <v>-1545585.4863388</v>
      </c>
      <c r="AJ7" s="17" t="n">
        <f aca="false">AJ6+AI7</f>
        <v>-3170240.15300547</v>
      </c>
      <c r="AK7" s="17" t="n">
        <v>0</v>
      </c>
      <c r="AL7" s="17" t="n">
        <f aca="false">T7*Допущения!$D$72</f>
        <v>3676.72131147541</v>
      </c>
      <c r="AM7" s="17" t="n">
        <f aca="false">IF(MOD(A7,12)=0,INDEX($F$70:$F$74,B7),0)</f>
        <v>0</v>
      </c>
      <c r="AN7" s="17" t="n">
        <f aca="false">AI7-AM7</f>
        <v>-1545585.4863388</v>
      </c>
      <c r="AO7" s="26" t="n">
        <f aca="false">1/(1+Допущения!$D$74)^A7</f>
        <v>0.967401362876396</v>
      </c>
      <c r="AP7" s="21" t="str">
        <f aca="false">IF(AND(A7&gt;Допущения!$D$19,MIN(AI7:AI$65)&gt;0),A7,"")</f>
        <v/>
      </c>
      <c r="AQ7" s="21" t="str">
        <f aca="false">IF(MIN(AJ7:AJ$65)&gt;0,A7,"")</f>
        <v/>
      </c>
    </row>
    <row r="8" customFormat="false" ht="15" hidden="false" customHeight="false" outlineLevel="0" collapsed="false">
      <c r="A8" s="28" t="n">
        <v>3</v>
      </c>
      <c r="B8" s="28" t="n">
        <f aca="false">INT((A8-1)/12)+1</f>
        <v>1</v>
      </c>
      <c r="C8" s="12" t="s">
        <v>461</v>
      </c>
      <c r="D8" s="15" t="n">
        <f aca="false">(1+Допущения!$D$11)^(B8-1)</f>
        <v>1</v>
      </c>
      <c r="E8" s="15" t="n">
        <f aca="false">(1+Допущения!$D$12)^(B8-1)</f>
        <v>1</v>
      </c>
      <c r="F8" s="17" t="n">
        <f aca="false">Допущения!$D$71*E8</f>
        <v>2965.48</v>
      </c>
      <c r="G8" s="17" t="n">
        <v>0</v>
      </c>
      <c r="H8" s="25" t="n">
        <v>0</v>
      </c>
      <c r="I8" s="25" t="n">
        <v>0</v>
      </c>
      <c r="J8" s="25" t="n">
        <v>0</v>
      </c>
      <c r="K8" s="25" t="n">
        <f aca="false">Допущения!$B$80-Допущения!$B$79</f>
        <v>100</v>
      </c>
      <c r="L8" s="25" t="n">
        <f aca="false">Допущения!$B$80</f>
        <v>150</v>
      </c>
      <c r="M8" s="25" t="n">
        <v>0</v>
      </c>
      <c r="N8" s="25" t="n">
        <v>0</v>
      </c>
      <c r="O8" s="25" t="n">
        <f aca="false">L8+N8</f>
        <v>150</v>
      </c>
      <c r="P8" s="25" t="n">
        <f aca="false">L8*Допущения!$D$25</f>
        <v>37.5</v>
      </c>
      <c r="Q8" s="25" t="n">
        <f aca="false">L8*(1-Допущения!$D$25)+N8</f>
        <v>112.5</v>
      </c>
      <c r="R8" s="17" t="n">
        <f aca="false">IF(A8&gt;1,Допущения!$D$18,0)</f>
        <v>3</v>
      </c>
      <c r="S8" s="17" t="n">
        <v>0</v>
      </c>
      <c r="T8" s="17" t="n">
        <f aca="false">L8*Допущения!$D$60*F8/(1+Допущения!$D$6)</f>
        <v>218764.918032787</v>
      </c>
      <c r="U8" s="17" t="n">
        <f aca="false">N8*Допущения!$D$28*E8/(1+Допущения!$D$6)</f>
        <v>0</v>
      </c>
      <c r="V8" s="17" t="n">
        <f aca="false">O8*Допущения!$D$26*Допущения!$D$27/(1+Допущения!$D$6)</f>
        <v>18442.6229508197</v>
      </c>
      <c r="W8" s="17" t="n">
        <f aca="false">T8+U8+V8</f>
        <v>237207.540983607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f aca="false">'Бюджет MVP'!$G$33/Допущения!$D$19</f>
        <v>1624654.66666667</v>
      </c>
      <c r="AH8" s="17" t="n">
        <f aca="false">G8+SUM(X8:AG8)</f>
        <v>1624654.66666667</v>
      </c>
      <c r="AI8" s="17" t="n">
        <f aca="false">W8-AH8</f>
        <v>-1387447.12568306</v>
      </c>
      <c r="AJ8" s="17" t="n">
        <f aca="false">AJ7+AI8</f>
        <v>-4557687.27868853</v>
      </c>
      <c r="AK8" s="17" t="n">
        <v>0</v>
      </c>
      <c r="AL8" s="17" t="n">
        <f aca="false">T8*Допущения!$D$72</f>
        <v>11030.1639344262</v>
      </c>
      <c r="AM8" s="17" t="n">
        <f aca="false">IF(MOD(A8,12)=0,INDEX($F$70:$F$74,B8),0)</f>
        <v>0</v>
      </c>
      <c r="AN8" s="17" t="n">
        <f aca="false">AI8-AM8</f>
        <v>-1387447.12568306</v>
      </c>
      <c r="AO8" s="26" t="n">
        <f aca="false">1/(1+Допущения!$D$74)^A8</f>
        <v>0.951502738001939</v>
      </c>
      <c r="AP8" s="21" t="str">
        <f aca="false">IF(AND(A8&gt;Допущения!$D$19,MIN(AI8:AI$65)&gt;0),A8,"")</f>
        <v/>
      </c>
      <c r="AQ8" s="21" t="str">
        <f aca="false">IF(MIN(AJ8:AJ$65)&gt;0,A8,"")</f>
        <v/>
      </c>
    </row>
    <row r="9" customFormat="false" ht="15" hidden="false" customHeight="false" outlineLevel="0" collapsed="false">
      <c r="A9" s="28" t="n">
        <v>4</v>
      </c>
      <c r="B9" s="28" t="n">
        <f aca="false">INT((A9-1)/12)+1</f>
        <v>1</v>
      </c>
      <c r="C9" s="12" t="s">
        <v>462</v>
      </c>
      <c r="D9" s="15" t="n">
        <f aca="false">(1+Допущения!$D$11)^(B9-1)</f>
        <v>1</v>
      </c>
      <c r="E9" s="15" t="n">
        <f aca="false">(1+Допущения!$D$12)^(B9-1)</f>
        <v>1</v>
      </c>
      <c r="F9" s="17" t="n">
        <f aca="false">Допущения!$D$71*E9</f>
        <v>2965.48</v>
      </c>
      <c r="G9" s="17" t="n">
        <f aca="false">Допущения!$D$32</f>
        <v>400000</v>
      </c>
      <c r="H9" s="25" t="n">
        <f aca="false">MIN(Допущения!$D$30,G9/Допущения!$D$29)</f>
        <v>266.666666666667</v>
      </c>
      <c r="I9" s="25" t="n">
        <f aca="false">MAX(0,G9-H9*Допущения!$D$29)/Допущения!$D$31</f>
        <v>0</v>
      </c>
      <c r="J9" s="25" t="n">
        <f aca="false">IF(A9&gt;=Допущения!$D$35,Допущения!$D$36,0)</f>
        <v>0</v>
      </c>
      <c r="K9" s="25" t="n">
        <f aca="false">H9+I9+J9</f>
        <v>266.666666666667</v>
      </c>
      <c r="L9" s="25" t="n">
        <f aca="false">(L8-K8)*(1-Допущения!$D$44)+K8*(1-Допущения!$D$43)+K9</f>
        <v>388.666666666667</v>
      </c>
      <c r="M9" s="25" t="n">
        <f aca="false">IF(A9&gt;=Допущения!$D$38,Допущения!$D$73/Допущения!$D$42*MIN(Допущения!$D$42,A9-Допущения!$D$38+1),0)</f>
        <v>0</v>
      </c>
      <c r="N9" s="25" t="n">
        <f aca="false">N8*(1-Допущения!$D$45)+M9</f>
        <v>0</v>
      </c>
      <c r="O9" s="25" t="n">
        <f aca="false">L9+N9</f>
        <v>388.666666666667</v>
      </c>
      <c r="P9" s="25" t="n">
        <f aca="false">L9*Допущения!$D$25</f>
        <v>97.1666666666667</v>
      </c>
      <c r="Q9" s="25" t="n">
        <f aca="false">L9*(1-Допущения!$D$25)+N9</f>
        <v>291.5</v>
      </c>
      <c r="R9" s="17" t="n">
        <f aca="false">MAX(Допущения!$D$18,ROUNDUP(Q9/Допущения!$D$68+P9/Допущения!$D$69,0))</f>
        <v>5</v>
      </c>
      <c r="S9" s="17" t="n">
        <f aca="false">ROUNDUP(R9/Допущения!$D$48,0)</f>
        <v>1</v>
      </c>
      <c r="T9" s="17" t="n">
        <f aca="false">L9*F9/(1+Допущения!$D$6)</f>
        <v>944740.349726776</v>
      </c>
      <c r="U9" s="17" t="n">
        <f aca="false">N9*Допущения!$D$28*E9/(1+Допущения!$D$6)</f>
        <v>0</v>
      </c>
      <c r="V9" s="17" t="n">
        <f aca="false">O9*Допущения!$D$26*Допущения!$D$27/(1+Допущения!$D$6)</f>
        <v>47786.8852459016</v>
      </c>
      <c r="W9" s="17" t="n">
        <f aca="false">T9+U9+V9</f>
        <v>992527.234972678</v>
      </c>
      <c r="X9" s="17" t="n">
        <f aca="false">J9*Допущения!$D$37</f>
        <v>0</v>
      </c>
      <c r="Y9" s="17" t="n">
        <f aca="false">(R9*Допущения!$D$47+S9*Допущения!$D$49)*D9*Допущения!$D$9</f>
        <v>598920</v>
      </c>
      <c r="Z9" s="17" t="n">
        <f aca="false">(MAX(0,R9-R8)+R9*Допущения!$D$50/12)*Допущения!$D$51*D9</f>
        <v>148750</v>
      </c>
      <c r="AA9" s="17" t="n">
        <f aca="false">O9*(Допущения!$D$53+Допущения!$D$54)+(L9*F9+N9*Допущения!$D$28*E9)*Допущения!$D$13</f>
        <v>162609.831413333</v>
      </c>
      <c r="AB9" s="17" t="n">
        <f aca="false">(R9+S9)*Допущения!$D$52</f>
        <v>16200</v>
      </c>
      <c r="AC9" s="17" t="n">
        <f aca="false">SUMPRODUCT(Допущения!$B$84:$B$91,Допущения!$C$84:$C$91,--(Допущения!$D$84:$D$91&lt;=A9))*D9*Допущения!$D$9</f>
        <v>1132740</v>
      </c>
      <c r="AD9" s="17" t="n">
        <f aca="false">(AC9+Y9)*Допущения!$D$14</f>
        <v>173166</v>
      </c>
      <c r="AE9" s="17" t="n">
        <f aca="false">Допущения!$D$55+Допущения!$D$56*O9/1000+Допущения!$D$57</f>
        <v>143109.333333333</v>
      </c>
      <c r="AF9" s="17" t="n">
        <f aca="false">SUMIF(Допущения!$B$95:$B$103,A9,Допущения!$C$95:$C$103)</f>
        <v>1000000</v>
      </c>
      <c r="AG9" s="17" t="n">
        <v>0</v>
      </c>
      <c r="AH9" s="17" t="n">
        <f aca="false">G9+SUM(X9:AG9)</f>
        <v>3775495.16474667</v>
      </c>
      <c r="AI9" s="17" t="n">
        <f aca="false">W9-AH9</f>
        <v>-2782967.92977399</v>
      </c>
      <c r="AJ9" s="17" t="n">
        <f aca="false">AJ8+AI9</f>
        <v>-7340655.20846251</v>
      </c>
      <c r="AK9" s="17" t="n">
        <f aca="false">O9*Допущения!$D$58*Допущения!$D$59</f>
        <v>12826</v>
      </c>
      <c r="AL9" s="17" t="n">
        <f aca="false">T9*Допущения!$D$72</f>
        <v>47633.9672131148</v>
      </c>
      <c r="AM9" s="17" t="n">
        <f aca="false">IF(MOD(A9,12)=0,INDEX($F$70:$F$74,B9),0)</f>
        <v>0</v>
      </c>
      <c r="AN9" s="17" t="n">
        <f aca="false">AI9-AM9</f>
        <v>-2782967.92977399</v>
      </c>
      <c r="AO9" s="26" t="n">
        <f aca="false">1/(1+Допущения!$D$74)^A9</f>
        <v>0.935865396895108</v>
      </c>
      <c r="AP9" s="21" t="str">
        <f aca="false">IF(AND(A9&gt;Допущения!$D$19,MIN(AI9:AI$65)&gt;0),A9,"")</f>
        <v/>
      </c>
      <c r="AQ9" s="21" t="str">
        <f aca="false">IF(MIN(AJ9:AJ$65)&gt;0,A9,"")</f>
        <v/>
      </c>
    </row>
    <row r="10" customFormat="false" ht="15" hidden="false" customHeight="false" outlineLevel="0" collapsed="false">
      <c r="A10" s="28" t="n">
        <v>5</v>
      </c>
      <c r="B10" s="28" t="n">
        <f aca="false">INT((A10-1)/12)+1</f>
        <v>1</v>
      </c>
      <c r="C10" s="12" t="s">
        <v>462</v>
      </c>
      <c r="D10" s="15" t="n">
        <f aca="false">(1+Допущения!$D$11)^(B10-1)</f>
        <v>1</v>
      </c>
      <c r="E10" s="15" t="n">
        <f aca="false">(1+Допущения!$D$12)^(B10-1)</f>
        <v>1</v>
      </c>
      <c r="F10" s="17" t="n">
        <f aca="false">Допущения!$D$71*E10</f>
        <v>2965.48</v>
      </c>
      <c r="G10" s="17" t="n">
        <f aca="false">MIN(G9*(1+Допущения!$D$33),Допущения!$D$34)</f>
        <v>432000</v>
      </c>
      <c r="H10" s="25" t="n">
        <f aca="false">MIN(Допущения!$D$30,G10/Допущения!$D$29)</f>
        <v>288</v>
      </c>
      <c r="I10" s="25" t="n">
        <f aca="false">MAX(0,G10-H10*Допущения!$D$29)/Допущения!$D$31</f>
        <v>0</v>
      </c>
      <c r="J10" s="25" t="n">
        <f aca="false">IF(A10&gt;=Допущения!$D$35,Допущения!$D$36,0)</f>
        <v>0</v>
      </c>
      <c r="K10" s="25" t="n">
        <f aca="false">H10+I10+J10</f>
        <v>288</v>
      </c>
      <c r="L10" s="25" t="n">
        <f aca="false">(L9-K9)*(1-Допущения!$D$44)+K9*(1-Допущения!$D$43)+K10</f>
        <v>602.68</v>
      </c>
      <c r="M10" s="25" t="n">
        <f aca="false">IF(A10&gt;=Допущения!$D$38,Допущения!$D$73/Допущения!$D$42*MIN(Допущения!$D$42,A10-Допущения!$D$38+1),0)</f>
        <v>0</v>
      </c>
      <c r="N10" s="25" t="n">
        <f aca="false">N9*(1-Допущения!$D$45)+M10</f>
        <v>0</v>
      </c>
      <c r="O10" s="25" t="n">
        <f aca="false">L10+N10</f>
        <v>602.68</v>
      </c>
      <c r="P10" s="25" t="n">
        <f aca="false">L10*Допущения!$D$25</f>
        <v>150.67</v>
      </c>
      <c r="Q10" s="25" t="n">
        <f aca="false">L10*(1-Допущения!$D$25)+N10</f>
        <v>452.01</v>
      </c>
      <c r="R10" s="17" t="n">
        <f aca="false">MAX(Допущения!$D$18,ROUNDUP(Q10/Допущения!$D$68+P10/Допущения!$D$69,0))</f>
        <v>7</v>
      </c>
      <c r="S10" s="17" t="n">
        <f aca="false">ROUNDUP(R10/Допущения!$D$48,0)</f>
        <v>1</v>
      </c>
      <c r="T10" s="17" t="n">
        <f aca="false">L10*F10/(1+Допущения!$D$6)</f>
        <v>1464947.12</v>
      </c>
      <c r="U10" s="17" t="n">
        <f aca="false">N10*Допущения!$D$28*E10/(1+Допущения!$D$6)</f>
        <v>0</v>
      </c>
      <c r="V10" s="17" t="n">
        <f aca="false">O10*Допущения!$D$26*Допущения!$D$27/(1+Допущения!$D$6)</f>
        <v>74100</v>
      </c>
      <c r="W10" s="17" t="n">
        <f aca="false">T10+U10+V10</f>
        <v>1539047.12</v>
      </c>
      <c r="X10" s="17" t="n">
        <f aca="false">J10*Допущения!$D$37</f>
        <v>0</v>
      </c>
      <c r="Y10" s="17" t="n">
        <f aca="false">(R10*Допущения!$D$47+S10*Допущения!$D$49)*D10*Допущения!$D$9</f>
        <v>781200</v>
      </c>
      <c r="Z10" s="17" t="n">
        <f aca="false">(MAX(0,R10-R9)+R10*Допущения!$D$50/12)*Допущения!$D$51*D10</f>
        <v>152250</v>
      </c>
      <c r="AA10" s="17" t="n">
        <f aca="false">O10*(Допущения!$D$53+Допущения!$D$54)+(L10*F10+N10*Допущения!$D$28*E10)*Допущения!$D$13</f>
        <v>252148.4387552</v>
      </c>
      <c r="AB10" s="17" t="n">
        <f aca="false">(R10+S10)*Допущения!$D$52</f>
        <v>21600</v>
      </c>
      <c r="AC10" s="17" t="n">
        <f aca="false">SUMPRODUCT(Допущения!$B$84:$B$91,Допущения!$C$84:$C$91,--(Допущения!$D$84:$D$91&lt;=A10))*D10*Допущения!$D$9</f>
        <v>1132740</v>
      </c>
      <c r="AD10" s="17" t="n">
        <f aca="false">(AC10+Y10)*Допущения!$D$14</f>
        <v>191394</v>
      </c>
      <c r="AE10" s="17" t="n">
        <f aca="false">Допущения!$D$55+Допущения!$D$56*O10/1000+Допущения!$D$57</f>
        <v>144821.44</v>
      </c>
      <c r="AF10" s="17" t="n">
        <f aca="false">SUMIF(Допущения!$B$95:$B$103,A10,Допущения!$C$95:$C$103)</f>
        <v>1000000</v>
      </c>
      <c r="AG10" s="17" t="n">
        <v>0</v>
      </c>
      <c r="AH10" s="17" t="n">
        <f aca="false">G10+SUM(X10:AG10)</f>
        <v>4108153.8787552</v>
      </c>
      <c r="AI10" s="17" t="n">
        <f aca="false">W10-AH10</f>
        <v>-2569106.7587552</v>
      </c>
      <c r="AJ10" s="17" t="n">
        <f aca="false">AJ9+AI10</f>
        <v>-9909761.96721771</v>
      </c>
      <c r="AK10" s="17" t="n">
        <f aca="false">O10*Допущения!$D$58*Допущения!$D$59</f>
        <v>19888.44</v>
      </c>
      <c r="AL10" s="17" t="n">
        <f aca="false">T10*Допущения!$D$72</f>
        <v>73862.88</v>
      </c>
      <c r="AM10" s="17" t="n">
        <f aca="false">IF(MOD(A10,12)=0,INDEX($F$70:$F$74,B10),0)</f>
        <v>0</v>
      </c>
      <c r="AN10" s="17" t="n">
        <f aca="false">AI10-AM10</f>
        <v>-2569106.7587552</v>
      </c>
      <c r="AO10" s="26" t="n">
        <f aca="false">1/(1+Допущения!$D$74)^A10</f>
        <v>0.920485045523697</v>
      </c>
      <c r="AP10" s="21" t="str">
        <f aca="false">IF(AND(A10&gt;Допущения!$D$19,MIN(AI10:AI$65)&gt;0),A10,"")</f>
        <v/>
      </c>
      <c r="AQ10" s="21" t="str">
        <f aca="false">IF(MIN(AJ10:AJ$65)&gt;0,A10,"")</f>
        <v/>
      </c>
    </row>
    <row r="11" customFormat="false" ht="15" hidden="false" customHeight="false" outlineLevel="0" collapsed="false">
      <c r="A11" s="28" t="n">
        <v>6</v>
      </c>
      <c r="B11" s="28" t="n">
        <f aca="false">INT((A11-1)/12)+1</f>
        <v>1</v>
      </c>
      <c r="C11" s="12" t="s">
        <v>462</v>
      </c>
      <c r="D11" s="15" t="n">
        <f aca="false">(1+Допущения!$D$11)^(B11-1)</f>
        <v>1</v>
      </c>
      <c r="E11" s="15" t="n">
        <f aca="false">(1+Допущения!$D$12)^(B11-1)</f>
        <v>1</v>
      </c>
      <c r="F11" s="17" t="n">
        <f aca="false">Допущения!$D$71*E11</f>
        <v>2965.48</v>
      </c>
      <c r="G11" s="17" t="n">
        <f aca="false">MIN(G10*(1+Допущения!$D$33),Допущения!$D$34)</f>
        <v>466560</v>
      </c>
      <c r="H11" s="25" t="n">
        <f aca="false">MIN(Допущения!$D$30,G11/Допущения!$D$29)</f>
        <v>300</v>
      </c>
      <c r="I11" s="25" t="n">
        <f aca="false">MAX(0,G11-H11*Допущения!$D$29)/Допущения!$D$31</f>
        <v>2.76000000000001</v>
      </c>
      <c r="J11" s="25" t="n">
        <f aca="false">IF(A11&gt;=Допущения!$D$35,Допущения!$D$36,0)</f>
        <v>40</v>
      </c>
      <c r="K11" s="25" t="n">
        <f aca="false">H11+I11+J11</f>
        <v>342.76</v>
      </c>
      <c r="L11" s="25" t="n">
        <f aca="false">(L10-K10)*(1-Допущения!$D$44)+K10*(1-Допущения!$D$43)+K11</f>
        <v>854.5592</v>
      </c>
      <c r="M11" s="25" t="n">
        <f aca="false">IF(A11&gt;=Допущения!$D$38,Допущения!$D$73/Допущения!$D$42*MIN(Допущения!$D$42,A11-Допущения!$D$38+1),0)</f>
        <v>0</v>
      </c>
      <c r="N11" s="25" t="n">
        <f aca="false">N10*(1-Допущения!$D$45)+M11</f>
        <v>0</v>
      </c>
      <c r="O11" s="25" t="n">
        <f aca="false">L11+N11</f>
        <v>854.5592</v>
      </c>
      <c r="P11" s="25" t="n">
        <f aca="false">L11*Допущения!$D$25</f>
        <v>213.6398</v>
      </c>
      <c r="Q11" s="25" t="n">
        <f aca="false">L11*(1-Допущения!$D$25)+N11</f>
        <v>640.9194</v>
      </c>
      <c r="R11" s="17" t="n">
        <f aca="false">MAX(Допущения!$D$18,ROUNDUP(Q11/Допущения!$D$68+P11/Допущения!$D$69,0))</f>
        <v>10</v>
      </c>
      <c r="S11" s="17" t="n">
        <f aca="false">ROUNDUP(R11/Допущения!$D$48,0)</f>
        <v>1</v>
      </c>
      <c r="T11" s="17" t="n">
        <f aca="false">L11*F11/(1+Допущения!$D$6)</f>
        <v>2077195.25935738</v>
      </c>
      <c r="U11" s="17" t="n">
        <f aca="false">N11*Допущения!$D$28*E11/(1+Допущения!$D$6)</f>
        <v>0</v>
      </c>
      <c r="V11" s="17" t="n">
        <f aca="false">O11*Допущения!$D$26*Допущения!$D$27/(1+Допущения!$D$6)</f>
        <v>105068.754098361</v>
      </c>
      <c r="W11" s="17" t="n">
        <f aca="false">T11+U11+V11</f>
        <v>2182264.01345574</v>
      </c>
      <c r="X11" s="17" t="n">
        <f aca="false">J11*Допущения!$D$37</f>
        <v>20000</v>
      </c>
      <c r="Y11" s="17" t="n">
        <f aca="false">(R11*Допущения!$D$47+S11*Допущения!$D$49)*D11*Допущения!$D$9</f>
        <v>1054620</v>
      </c>
      <c r="Z11" s="17" t="n">
        <f aca="false">(MAX(0,R11-R10)+R11*Допущения!$D$50/12)*Допущения!$D$51*D11</f>
        <v>227500</v>
      </c>
      <c r="AA11" s="17" t="n">
        <f aca="false">O11*(Допущения!$D$53+Допущения!$D$54)+(L11*F11+N11*Допущения!$D$28*E11)*Допущения!$D$13</f>
        <v>357529.315895488</v>
      </c>
      <c r="AB11" s="17" t="n">
        <f aca="false">(R11+S11)*Допущения!$D$52</f>
        <v>29700</v>
      </c>
      <c r="AC11" s="17" t="n">
        <f aca="false">SUMPRODUCT(Допущения!$B$84:$B$91,Допущения!$C$84:$C$91,--(Допущения!$D$84:$D$91&lt;=A11))*D11*Допущения!$D$9</f>
        <v>1627500</v>
      </c>
      <c r="AD11" s="17" t="n">
        <f aca="false">(AC11+Y11)*Допущения!$D$14</f>
        <v>268212</v>
      </c>
      <c r="AE11" s="17" t="n">
        <f aca="false">Допущения!$D$55+Допущения!$D$56*O11/1000+Допущения!$D$57</f>
        <v>146836.4736</v>
      </c>
      <c r="AF11" s="17" t="n">
        <f aca="false">SUMIF(Допущения!$B$95:$B$103,A11,Допущения!$C$95:$C$103)</f>
        <v>1000000</v>
      </c>
      <c r="AG11" s="17" t="n">
        <v>0</v>
      </c>
      <c r="AH11" s="17" t="n">
        <f aca="false">G11+SUM(X11:AG11)</f>
        <v>5198457.78949549</v>
      </c>
      <c r="AI11" s="17" t="n">
        <f aca="false">W11-AH11</f>
        <v>-3016193.77603975</v>
      </c>
      <c r="AJ11" s="17" t="n">
        <f aca="false">AJ10+AI11</f>
        <v>-12925955.7432575</v>
      </c>
      <c r="AK11" s="17" t="n">
        <f aca="false">O11*Допущения!$D$58*Допущения!$D$59</f>
        <v>28200.4536</v>
      </c>
      <c r="AL11" s="17" t="n">
        <f aca="false">T11*Допущения!$D$72</f>
        <v>104732.534085246</v>
      </c>
      <c r="AM11" s="17" t="n">
        <f aca="false">IF(MOD(A11,12)=0,INDEX($F$70:$F$74,B11),0)</f>
        <v>0</v>
      </c>
      <c r="AN11" s="17" t="n">
        <f aca="false">AI11-AM11</f>
        <v>-3016193.77603975</v>
      </c>
      <c r="AO11" s="26" t="n">
        <f aca="false">1/(1+Допущения!$D$74)^A11</f>
        <v>0.905357460425186</v>
      </c>
      <c r="AP11" s="21" t="str">
        <f aca="false">IF(AND(A11&gt;Допущения!$D$19,MIN(AI11:AI$65)&gt;0),A11,"")</f>
        <v/>
      </c>
      <c r="AQ11" s="21" t="str">
        <f aca="false">IF(MIN(AJ11:AJ$65)&gt;0,A11,"")</f>
        <v/>
      </c>
    </row>
    <row r="12" customFormat="false" ht="15" hidden="false" customHeight="false" outlineLevel="0" collapsed="false">
      <c r="A12" s="28" t="n">
        <v>7</v>
      </c>
      <c r="B12" s="28" t="n">
        <f aca="false">INT((A12-1)/12)+1</f>
        <v>1</v>
      </c>
      <c r="C12" s="12" t="s">
        <v>462</v>
      </c>
      <c r="D12" s="15" t="n">
        <f aca="false">(1+Допущения!$D$11)^(B12-1)</f>
        <v>1</v>
      </c>
      <c r="E12" s="15" t="n">
        <f aca="false">(1+Допущения!$D$12)^(B12-1)</f>
        <v>1</v>
      </c>
      <c r="F12" s="17" t="n">
        <f aca="false">Допущения!$D$71*E12</f>
        <v>2965.48</v>
      </c>
      <c r="G12" s="17" t="n">
        <f aca="false">MIN(G11*(1+Допущения!$D$33),Допущения!$D$34)</f>
        <v>503884.8</v>
      </c>
      <c r="H12" s="25" t="n">
        <f aca="false">MIN(Допущения!$D$30,G12/Допущения!$D$29)</f>
        <v>300</v>
      </c>
      <c r="I12" s="25" t="n">
        <f aca="false">MAX(0,G12-H12*Допущения!$D$29)/Допущения!$D$31</f>
        <v>8.98080000000002</v>
      </c>
      <c r="J12" s="25" t="n">
        <f aca="false">IF(A12&gt;=Допущения!$D$35,Допущения!$D$36,0)</f>
        <v>40</v>
      </c>
      <c r="K12" s="25" t="n">
        <f aca="false">H12+I12+J12</f>
        <v>348.9808</v>
      </c>
      <c r="L12" s="25" t="n">
        <f aca="false">(L11-K11)*(1-Допущения!$D$44)+K11*(1-Допущения!$D$43)+K12</f>
        <v>1087.142048</v>
      </c>
      <c r="M12" s="25" t="n">
        <f aca="false">IF(A12&gt;=Допущения!$D$38,Допущения!$D$73/Допущения!$D$42*MIN(Допущения!$D$42,A12-Допущения!$D$38+1),0)</f>
        <v>20</v>
      </c>
      <c r="N12" s="25" t="n">
        <f aca="false">N11*(1-Допущения!$D$45)+M12</f>
        <v>20</v>
      </c>
      <c r="O12" s="25" t="n">
        <f aca="false">L12+N12</f>
        <v>1107.142048</v>
      </c>
      <c r="P12" s="25" t="n">
        <f aca="false">L12*Допущения!$D$25</f>
        <v>271.785512</v>
      </c>
      <c r="Q12" s="25" t="n">
        <f aca="false">L12*(1-Допущения!$D$25)+N12</f>
        <v>835.356536</v>
      </c>
      <c r="R12" s="17" t="n">
        <f aca="false">MAX(Допущения!$D$18,ROUNDUP(Q12/Допущения!$D$68+P12/Допущения!$D$69,0))</f>
        <v>12</v>
      </c>
      <c r="S12" s="17" t="n">
        <f aca="false">ROUNDUP(R12/Допущения!$D$48,0)</f>
        <v>1</v>
      </c>
      <c r="T12" s="17" t="n">
        <f aca="false">L12*F12/(1+Допущения!$D$6)</f>
        <v>2642539.34467462</v>
      </c>
      <c r="U12" s="17" t="n">
        <f aca="false">N12*Допущения!$D$28*E12/(1+Допущения!$D$6)</f>
        <v>32622.9508196721</v>
      </c>
      <c r="V12" s="17" t="n">
        <f aca="false">O12*Допущения!$D$26*Допущения!$D$27/(1+Допущения!$D$6)</f>
        <v>136124.022295082</v>
      </c>
      <c r="W12" s="17" t="n">
        <f aca="false">T12+U12+V12</f>
        <v>2811286.31778938</v>
      </c>
      <c r="X12" s="17" t="n">
        <f aca="false">J12*Допущения!$D$37</f>
        <v>20000</v>
      </c>
      <c r="Y12" s="17" t="n">
        <f aca="false">(R12*Допущения!$D$47+S12*Допущения!$D$49)*D12*Допущения!$D$9</f>
        <v>1236900</v>
      </c>
      <c r="Z12" s="17" t="n">
        <f aca="false">(MAX(0,R12-R11)+R12*Допущения!$D$50/12)*Допущения!$D$51*D12</f>
        <v>161000</v>
      </c>
      <c r="AA12" s="17" t="n">
        <f aca="false">O12*(Допущения!$D$53+Допущения!$D$54)+(L12*F12+N12*Допущения!$D$28*E12)*Допущения!$D$13</f>
        <v>462853.411529055</v>
      </c>
      <c r="AB12" s="17" t="n">
        <f aca="false">(R12+S12)*Допущения!$D$52</f>
        <v>35100</v>
      </c>
      <c r="AC12" s="17" t="n">
        <f aca="false">SUMPRODUCT(Допущения!$B$84:$B$91,Допущения!$C$84:$C$91,--(Допущения!$D$84:$D$91&lt;=A12))*D12*Допущения!$D$9</f>
        <v>1627500</v>
      </c>
      <c r="AD12" s="17" t="n">
        <f aca="false">(AC12+Y12)*Допущения!$D$14</f>
        <v>286440</v>
      </c>
      <c r="AE12" s="17" t="n">
        <f aca="false">Допущения!$D$55+Допущения!$D$56*O12/1000+Допущения!$D$57</f>
        <v>148857.136384</v>
      </c>
      <c r="AF12" s="17" t="n">
        <f aca="false">SUMIF(Допущения!$B$95:$B$103,A12,Допущения!$C$95:$C$103)</f>
        <v>500000</v>
      </c>
      <c r="AG12" s="17" t="n">
        <v>0</v>
      </c>
      <c r="AH12" s="17" t="n">
        <f aca="false">G12+SUM(X12:AG12)</f>
        <v>4982535.34791306</v>
      </c>
      <c r="AI12" s="17" t="n">
        <f aca="false">W12-AH12</f>
        <v>-2171249.03012368</v>
      </c>
      <c r="AJ12" s="17" t="n">
        <f aca="false">AJ11+AI12</f>
        <v>-15097204.7733811</v>
      </c>
      <c r="AK12" s="17" t="n">
        <f aca="false">O12*Допущения!$D$58*Допущения!$D$59</f>
        <v>36535.687584</v>
      </c>
      <c r="AL12" s="17" t="n">
        <f aca="false">T12*Допущения!$D$72</f>
        <v>133237.277882754</v>
      </c>
      <c r="AM12" s="17" t="n">
        <f aca="false">IF(MOD(A12,12)=0,INDEX($F$70:$F$74,B12),0)</f>
        <v>0</v>
      </c>
      <c r="AN12" s="17" t="n">
        <f aca="false">AI12-AM12</f>
        <v>-2171249.03012368</v>
      </c>
      <c r="AO12" s="26" t="n">
        <f aca="false">1/(1+Допущения!$D$74)^A12</f>
        <v>0.890478487546966</v>
      </c>
      <c r="AP12" s="21" t="str">
        <f aca="false">IF(AND(A12&gt;Допущения!$D$19,MIN(AI12:AI$65)&gt;0),A12,"")</f>
        <v/>
      </c>
      <c r="AQ12" s="21" t="str">
        <f aca="false">IF(MIN(AJ12:AJ$65)&gt;0,A12,"")</f>
        <v/>
      </c>
    </row>
    <row r="13" customFormat="false" ht="15" hidden="false" customHeight="false" outlineLevel="0" collapsed="false">
      <c r="A13" s="28" t="n">
        <v>8</v>
      </c>
      <c r="B13" s="28" t="n">
        <f aca="false">INT((A13-1)/12)+1</f>
        <v>1</v>
      </c>
      <c r="C13" s="12" t="s">
        <v>462</v>
      </c>
      <c r="D13" s="15" t="n">
        <f aca="false">(1+Допущения!$D$11)^(B13-1)</f>
        <v>1</v>
      </c>
      <c r="E13" s="15" t="n">
        <f aca="false">(1+Допущения!$D$12)^(B13-1)</f>
        <v>1</v>
      </c>
      <c r="F13" s="17" t="n">
        <f aca="false">Допущения!$D$71*E13</f>
        <v>2965.48</v>
      </c>
      <c r="G13" s="17" t="n">
        <f aca="false">MIN(G12*(1+Допущения!$D$33),Допущения!$D$34)</f>
        <v>544195.584</v>
      </c>
      <c r="H13" s="25" t="n">
        <f aca="false">MIN(Допущения!$D$30,G13/Допущения!$D$29)</f>
        <v>300</v>
      </c>
      <c r="I13" s="25" t="n">
        <f aca="false">MAX(0,G13-H13*Допущения!$D$29)/Допущения!$D$31</f>
        <v>15.699264</v>
      </c>
      <c r="J13" s="25" t="n">
        <f aca="false">IF(A13&gt;=Допущения!$D$35,Допущения!$D$36,0)</f>
        <v>40</v>
      </c>
      <c r="K13" s="25" t="n">
        <f aca="false">H13+I13+J13</f>
        <v>355.699264</v>
      </c>
      <c r="L13" s="25" t="n">
        <f aca="false">(L12-K12)*(1-Допущения!$D$44)+K12*(1-Допущения!$D$43)+K13</f>
        <v>1311.30643712</v>
      </c>
      <c r="M13" s="25" t="n">
        <f aca="false">IF(A13&gt;=Допущения!$D$38,Допущения!$D$73/Допущения!$D$42*MIN(Допущения!$D$42,A13-Допущения!$D$38+1),0)</f>
        <v>40</v>
      </c>
      <c r="N13" s="25" t="n">
        <f aca="false">N12*(1-Допущения!$D$45)+M13</f>
        <v>59.6</v>
      </c>
      <c r="O13" s="25" t="n">
        <f aca="false">L13+N13</f>
        <v>1370.90643712</v>
      </c>
      <c r="P13" s="25" t="n">
        <f aca="false">L13*Допущения!$D$25</f>
        <v>327.82660928</v>
      </c>
      <c r="Q13" s="25" t="n">
        <f aca="false">L13*(1-Допущения!$D$25)+N13</f>
        <v>1043.07982784</v>
      </c>
      <c r="R13" s="17" t="n">
        <f aca="false">MAX(Допущения!$D$18,ROUNDUP(Q13/Допущения!$D$68+P13/Допущения!$D$69,0))</f>
        <v>15</v>
      </c>
      <c r="S13" s="17" t="n">
        <f aca="false">ROUNDUP(R13/Допущения!$D$48,0)</f>
        <v>2</v>
      </c>
      <c r="T13" s="17" t="n">
        <f aca="false">L13*F13/(1+Допущения!$D$6)</f>
        <v>3187420.50258247</v>
      </c>
      <c r="U13" s="17" t="n">
        <f aca="false">N13*Допущения!$D$28*E13/(1+Допущения!$D$6)</f>
        <v>97216.393442623</v>
      </c>
      <c r="V13" s="17" t="n">
        <f aca="false">O13*Допущения!$D$26*Допущения!$D$27/(1+Допущения!$D$6)</f>
        <v>168554.070137705</v>
      </c>
      <c r="W13" s="17" t="n">
        <f aca="false">T13+U13+V13</f>
        <v>3453190.9661628</v>
      </c>
      <c r="X13" s="17" t="n">
        <f aca="false">J13*Допущения!$D$37</f>
        <v>20000</v>
      </c>
      <c r="Y13" s="17" t="n">
        <f aca="false">(R13*Допущения!$D$47+S13*Допущения!$D$49)*D13*Допущения!$D$9</f>
        <v>1653540</v>
      </c>
      <c r="Z13" s="17" t="n">
        <f aca="false">(MAX(0,R13-R12)+R13*Допущения!$D$50/12)*Допущения!$D$51*D13</f>
        <v>236250</v>
      </c>
      <c r="AA13" s="17" t="n">
        <f aca="false">O13*(Допущения!$D$53+Допущения!$D$54)+(L13*F13+N13*Допущения!$D$28*E13)*Допущения!$D$13</f>
        <v>572511.475785511</v>
      </c>
      <c r="AB13" s="17" t="n">
        <f aca="false">(R13+S13)*Допущения!$D$52</f>
        <v>45900</v>
      </c>
      <c r="AC13" s="17" t="n">
        <f aca="false">SUMPRODUCT(Допущения!$B$84:$B$91,Допущения!$C$84:$C$91,--(Допущения!$D$84:$D$91&lt;=A13))*D13*Допущения!$D$9</f>
        <v>1627500</v>
      </c>
      <c r="AD13" s="17" t="n">
        <f aca="false">(AC13+Y13)*Допущения!$D$14</f>
        <v>328104</v>
      </c>
      <c r="AE13" s="17" t="n">
        <f aca="false">Допущения!$D$55+Допущения!$D$56*O13/1000+Допущения!$D$57</f>
        <v>150967.25149696</v>
      </c>
      <c r="AF13" s="17" t="n">
        <f aca="false">SUMIF(Допущения!$B$95:$B$103,A13,Допущения!$C$95:$C$103)</f>
        <v>500000</v>
      </c>
      <c r="AG13" s="17" t="n">
        <v>0</v>
      </c>
      <c r="AH13" s="17" t="n">
        <f aca="false">G13+SUM(X13:AG13)</f>
        <v>5678968.31128247</v>
      </c>
      <c r="AI13" s="17" t="n">
        <f aca="false">W13-AH13</f>
        <v>-2225777.34511967</v>
      </c>
      <c r="AJ13" s="17" t="n">
        <f aca="false">AJ12+AI13</f>
        <v>-17322982.1185008</v>
      </c>
      <c r="AK13" s="17" t="n">
        <f aca="false">O13*Допущения!$D$58*Допущения!$D$59</f>
        <v>45239.91242496</v>
      </c>
      <c r="AL13" s="17" t="n">
        <f aca="false">T13*Допущения!$D$72</f>
        <v>160710.277441133</v>
      </c>
      <c r="AM13" s="17" t="n">
        <f aca="false">IF(MOD(A13,12)=0,INDEX($F$70:$F$74,B13),0)</f>
        <v>0</v>
      </c>
      <c r="AN13" s="17" t="n">
        <f aca="false">AI13-AM13</f>
        <v>-2225777.34511967</v>
      </c>
      <c r="AO13" s="26" t="n">
        <f aca="false">1/(1+Допущения!$D$74)^A13</f>
        <v>0.875844041105637</v>
      </c>
      <c r="AP13" s="21" t="str">
        <f aca="false">IF(AND(A13&gt;Допущения!$D$19,MIN(AI13:AI$65)&gt;0),A13,"")</f>
        <v/>
      </c>
      <c r="AQ13" s="21" t="str">
        <f aca="false">IF(MIN(AJ13:AJ$65)&gt;0,A13,"")</f>
        <v/>
      </c>
    </row>
    <row r="14" customFormat="false" ht="15" hidden="false" customHeight="false" outlineLevel="0" collapsed="false">
      <c r="A14" s="28" t="n">
        <v>9</v>
      </c>
      <c r="B14" s="28" t="n">
        <f aca="false">INT((A14-1)/12)+1</f>
        <v>1</v>
      </c>
      <c r="C14" s="12" t="s">
        <v>462</v>
      </c>
      <c r="D14" s="15" t="n">
        <f aca="false">(1+Допущения!$D$11)^(B14-1)</f>
        <v>1</v>
      </c>
      <c r="E14" s="15" t="n">
        <f aca="false">(1+Допущения!$D$12)^(B14-1)</f>
        <v>1</v>
      </c>
      <c r="F14" s="17" t="n">
        <f aca="false">Допущения!$D$71*E14</f>
        <v>2965.48</v>
      </c>
      <c r="G14" s="17" t="n">
        <f aca="false">MIN(G13*(1+Допущения!$D$33),Допущения!$D$34)</f>
        <v>587731.23072</v>
      </c>
      <c r="H14" s="25" t="n">
        <f aca="false">MIN(Допущения!$D$30,G14/Допущения!$D$29)</f>
        <v>300</v>
      </c>
      <c r="I14" s="25" t="n">
        <f aca="false">MAX(0,G14-H14*Допущения!$D$29)/Допущения!$D$31</f>
        <v>22.95520512</v>
      </c>
      <c r="J14" s="25" t="n">
        <f aca="false">IF(A14&gt;=Допущения!$D$35,Допущения!$D$36,0)</f>
        <v>40</v>
      </c>
      <c r="K14" s="25" t="n">
        <f aca="false">H14+I14+J14</f>
        <v>362.95520512</v>
      </c>
      <c r="L14" s="25" t="n">
        <f aca="false">(L13-K13)*(1-Допущения!$D$44)+K13*(1-Допущения!$D$43)+K14</f>
        <v>1528.0003958528</v>
      </c>
      <c r="M14" s="25" t="n">
        <f aca="false">IF(A14&gt;=Допущения!$D$38,Допущения!$D$73/Допущения!$D$42*MIN(Допущения!$D$42,A14-Допущения!$D$38+1),0)</f>
        <v>60</v>
      </c>
      <c r="N14" s="25" t="n">
        <f aca="false">N13*(1-Допущения!$D$45)+M14</f>
        <v>118.408</v>
      </c>
      <c r="O14" s="25" t="n">
        <f aca="false">L14+N14</f>
        <v>1646.4083958528</v>
      </c>
      <c r="P14" s="25" t="n">
        <f aca="false">L14*Допущения!$D$25</f>
        <v>382.0000989632</v>
      </c>
      <c r="Q14" s="25" t="n">
        <f aca="false">L14*(1-Допущения!$D$25)+N14</f>
        <v>1264.4082968896</v>
      </c>
      <c r="R14" s="17" t="n">
        <f aca="false">MAX(Допущения!$D$18,ROUNDUP(Q14/Допущения!$D$68+P14/Допущения!$D$69,0))</f>
        <v>18</v>
      </c>
      <c r="S14" s="17" t="n">
        <f aca="false">ROUNDUP(R14/Допущения!$D$48,0)</f>
        <v>2</v>
      </c>
      <c r="T14" s="17" t="n">
        <f aca="false">L14*F14/(1+Допущения!$D$6)</f>
        <v>3714143.12614226</v>
      </c>
      <c r="U14" s="17" t="n">
        <f aca="false">N14*Допущения!$D$28*E14/(1+Допущения!$D$6)</f>
        <v>193140.918032787</v>
      </c>
      <c r="V14" s="17" t="n">
        <f aca="false">O14*Допущения!$D$26*Допущения!$D$27/(1+Допущения!$D$6)</f>
        <v>202427.26178518</v>
      </c>
      <c r="W14" s="17" t="n">
        <f aca="false">T14+U14+V14</f>
        <v>4109711.30596023</v>
      </c>
      <c r="X14" s="17" t="n">
        <f aca="false">J14*Допущения!$D$37</f>
        <v>20000</v>
      </c>
      <c r="Y14" s="17" t="n">
        <f aca="false">(R14*Допущения!$D$47+S14*Допущения!$D$49)*D14*Допущения!$D$9</f>
        <v>1926960</v>
      </c>
      <c r="Z14" s="17" t="n">
        <f aca="false">(MAX(0,R14-R13)+R14*Допущения!$D$50/12)*Допущения!$D$51*D14</f>
        <v>241500</v>
      </c>
      <c r="AA14" s="17" t="n">
        <f aca="false">O14*(Допущения!$D$53+Допущения!$D$54)+(L14*F14+N14*Допущения!$D$28*E14)*Допущения!$D$13</f>
        <v>686743.022096356</v>
      </c>
      <c r="AB14" s="17" t="n">
        <f aca="false">(R14+S14)*Допущения!$D$52</f>
        <v>54000</v>
      </c>
      <c r="AC14" s="17" t="n">
        <f aca="false">SUMPRODUCT(Допущения!$B$84:$B$91,Допущения!$C$84:$C$91,--(Допущения!$D$84:$D$91&lt;=A14))*D14*Допущения!$D$9</f>
        <v>1627500</v>
      </c>
      <c r="AD14" s="17" t="n">
        <f aca="false">(AC14+Y14)*Допущения!$D$14</f>
        <v>355446</v>
      </c>
      <c r="AE14" s="17" t="n">
        <f aca="false">Допущения!$D$55+Допущения!$D$56*O14/1000+Допущения!$D$57</f>
        <v>153171.267166822</v>
      </c>
      <c r="AF14" s="17" t="n">
        <f aca="false">SUMIF(Допущения!$B$95:$B$103,A14,Допущения!$C$95:$C$103)</f>
        <v>500000</v>
      </c>
      <c r="AG14" s="17" t="n">
        <v>0</v>
      </c>
      <c r="AH14" s="17" t="n">
        <f aca="false">G14+SUM(X14:AG14)</f>
        <v>6153051.51998318</v>
      </c>
      <c r="AI14" s="17" t="n">
        <f aca="false">W14-AH14</f>
        <v>-2043340.21402295</v>
      </c>
      <c r="AJ14" s="17" t="n">
        <f aca="false">AJ13+AI14</f>
        <v>-19366322.3325238</v>
      </c>
      <c r="AK14" s="17" t="n">
        <f aca="false">O14*Допущения!$D$58*Допущения!$D$59</f>
        <v>54331.4770631424</v>
      </c>
      <c r="AL14" s="17" t="n">
        <f aca="false">T14*Допущения!$D$72</f>
        <v>187267.720645828</v>
      </c>
      <c r="AM14" s="17" t="n">
        <f aca="false">IF(MOD(A14,12)=0,INDEX($F$70:$F$74,B14),0)</f>
        <v>0</v>
      </c>
      <c r="AN14" s="17" t="n">
        <f aca="false">AI14-AM14</f>
        <v>-2043340.21402295</v>
      </c>
      <c r="AO14" s="26" t="n">
        <f aca="false">1/(1+Допущения!$D$74)^A14</f>
        <v>0.861450102465046</v>
      </c>
      <c r="AP14" s="21" t="str">
        <f aca="false">IF(AND(A14&gt;Допущения!$D$19,MIN(AI14:AI$65)&gt;0),A14,"")</f>
        <v/>
      </c>
      <c r="AQ14" s="21" t="str">
        <f aca="false">IF(MIN(AJ14:AJ$65)&gt;0,A14,"")</f>
        <v/>
      </c>
    </row>
    <row r="15" customFormat="false" ht="15" hidden="false" customHeight="false" outlineLevel="0" collapsed="false">
      <c r="A15" s="28" t="n">
        <v>10</v>
      </c>
      <c r="B15" s="28" t="n">
        <f aca="false">INT((A15-1)/12)+1</f>
        <v>1</v>
      </c>
      <c r="C15" s="12" t="s">
        <v>462</v>
      </c>
      <c r="D15" s="15" t="n">
        <f aca="false">(1+Допущения!$D$11)^(B15-1)</f>
        <v>1</v>
      </c>
      <c r="E15" s="15" t="n">
        <f aca="false">(1+Допущения!$D$12)^(B15-1)</f>
        <v>1</v>
      </c>
      <c r="F15" s="17" t="n">
        <f aca="false">Допущения!$D$71*E15</f>
        <v>2965.48</v>
      </c>
      <c r="G15" s="17" t="n">
        <f aca="false">MIN(G14*(1+Допущения!$D$33),Допущения!$D$34)</f>
        <v>634749.7291776</v>
      </c>
      <c r="H15" s="25" t="n">
        <f aca="false">MIN(Допущения!$D$30,G15/Допущения!$D$29)</f>
        <v>300</v>
      </c>
      <c r="I15" s="25" t="n">
        <f aca="false">MAX(0,G15-H15*Допущения!$D$29)/Допущения!$D$31</f>
        <v>30.7916215296</v>
      </c>
      <c r="J15" s="25" t="n">
        <f aca="false">IF(A15&gt;=Допущения!$D$35,Допущения!$D$36,0)</f>
        <v>40</v>
      </c>
      <c r="K15" s="25" t="n">
        <f aca="false">H15+I15+J15</f>
        <v>370.7916215296</v>
      </c>
      <c r="L15" s="25" t="n">
        <f aca="false">(L14-K14)*(1-Допущения!$D$44)+K14*(1-Допущения!$D$43)+K15</f>
        <v>1738.15050465843</v>
      </c>
      <c r="M15" s="25" t="n">
        <f aca="false">IF(A15&gt;=Допущения!$D$38,Допущения!$D$73/Допущения!$D$42*MIN(Допущения!$D$42,A15-Допущения!$D$38+1),0)</f>
        <v>60</v>
      </c>
      <c r="N15" s="25" t="n">
        <f aca="false">N14*(1-Допущения!$D$45)+M15</f>
        <v>176.03984</v>
      </c>
      <c r="O15" s="25" t="n">
        <f aca="false">L15+N15</f>
        <v>1914.19034465843</v>
      </c>
      <c r="P15" s="25" t="n">
        <f aca="false">L15*Допущения!$D$25</f>
        <v>434.537626164608</v>
      </c>
      <c r="Q15" s="25" t="n">
        <f aca="false">L15*(1-Допущения!$D$25)+N15</f>
        <v>1479.65271849382</v>
      </c>
      <c r="R15" s="17" t="n">
        <f aca="false">MAX(Допущения!$D$18,ROUNDUP(Q15/Допущения!$D$68+P15/Допущения!$D$69,0))</f>
        <v>20</v>
      </c>
      <c r="S15" s="17" t="n">
        <f aca="false">ROUNDUP(R15/Допущения!$D$48,0)</f>
        <v>2</v>
      </c>
      <c r="T15" s="17" t="n">
        <f aca="false">L15*F15/(1+Допущения!$D$6)</f>
        <v>4224959.47422499</v>
      </c>
      <c r="U15" s="17" t="n">
        <f aca="false">N15*Допущения!$D$28*E15/(1+Допущения!$D$6)</f>
        <v>287146.952131148</v>
      </c>
      <c r="V15" s="17" t="n">
        <f aca="false">O15*Допущения!$D$26*Допущения!$D$27/(1+Допущения!$D$6)</f>
        <v>235351.271884233</v>
      </c>
      <c r="W15" s="17" t="n">
        <f aca="false">T15+U15+V15</f>
        <v>4747457.69824037</v>
      </c>
      <c r="X15" s="17" t="n">
        <f aca="false">J15*Допущения!$D$37</f>
        <v>20000</v>
      </c>
      <c r="Y15" s="17" t="n">
        <f aca="false">(R15*Допущения!$D$47+S15*Допущения!$D$49)*D15*Допущения!$D$9</f>
        <v>2109240</v>
      </c>
      <c r="Z15" s="17" t="n">
        <f aca="false">(MAX(0,R15-R14)+R15*Допущения!$D$50/12)*Допущения!$D$51*D15</f>
        <v>175000</v>
      </c>
      <c r="AA15" s="17" t="n">
        <f aca="false">O15*(Допущения!$D$53+Допущения!$D$54)+(L15*F15+N15*Допущения!$D$28*E15)*Допущения!$D$13</f>
        <v>797765.332923109</v>
      </c>
      <c r="AB15" s="17" t="n">
        <f aca="false">(R15+S15)*Допущения!$D$52</f>
        <v>59400</v>
      </c>
      <c r="AC15" s="17" t="n">
        <f aca="false">SUMPRODUCT(Допущения!$B$84:$B$91,Допущения!$C$84:$C$91,--(Допущения!$D$84:$D$91&lt;=A15))*D15*Допущения!$D$9</f>
        <v>1966020</v>
      </c>
      <c r="AD15" s="17" t="n">
        <f aca="false">(AC15+Y15)*Допущения!$D$14</f>
        <v>407526</v>
      </c>
      <c r="AE15" s="17" t="n">
        <f aca="false">Допущения!$D$55+Допущения!$D$56*O15/1000+Допущения!$D$57</f>
        <v>155313.522757267</v>
      </c>
      <c r="AF15" s="17" t="n">
        <f aca="false">SUMIF(Допущения!$B$95:$B$103,A15,Допущения!$C$95:$C$103)</f>
        <v>350000</v>
      </c>
      <c r="AG15" s="17" t="n">
        <v>0</v>
      </c>
      <c r="AH15" s="17" t="n">
        <f aca="false">G15+SUM(X15:AG15)</f>
        <v>6675014.58485798</v>
      </c>
      <c r="AI15" s="17" t="n">
        <f aca="false">W15-AH15</f>
        <v>-1927556.88661761</v>
      </c>
      <c r="AJ15" s="17" t="n">
        <f aca="false">AJ14+AI15</f>
        <v>-21293879.2191414</v>
      </c>
      <c r="AK15" s="17" t="n">
        <f aca="false">O15*Допущения!$D$58*Допущения!$D$59</f>
        <v>63168.2813737283</v>
      </c>
      <c r="AL15" s="17" t="n">
        <f aca="false">T15*Допущения!$D$72</f>
        <v>213023.166767647</v>
      </c>
      <c r="AM15" s="17" t="n">
        <f aca="false">IF(MOD(A15,12)=0,INDEX($F$70:$F$74,B15),0)</f>
        <v>0</v>
      </c>
      <c r="AN15" s="17" t="n">
        <f aca="false">AI15-AM15</f>
        <v>-1927556.88661761</v>
      </c>
      <c r="AO15" s="26" t="n">
        <f aca="false">1/(1+Допущения!$D$74)^A15</f>
        <v>0.847292719032763</v>
      </c>
      <c r="AP15" s="21" t="str">
        <f aca="false">IF(AND(A15&gt;Допущения!$D$19,MIN(AI15:AI$65)&gt;0),A15,"")</f>
        <v/>
      </c>
      <c r="AQ15" s="21" t="str">
        <f aca="false">IF(MIN(AJ15:AJ$65)&gt;0,A15,"")</f>
        <v/>
      </c>
    </row>
    <row r="16" customFormat="false" ht="15" hidden="false" customHeight="false" outlineLevel="0" collapsed="false">
      <c r="A16" s="28" t="n">
        <v>11</v>
      </c>
      <c r="B16" s="28" t="n">
        <f aca="false">INT((A16-1)/12)+1</f>
        <v>1</v>
      </c>
      <c r="C16" s="12" t="s">
        <v>462</v>
      </c>
      <c r="D16" s="15" t="n">
        <f aca="false">(1+Допущения!$D$11)^(B16-1)</f>
        <v>1</v>
      </c>
      <c r="E16" s="15" t="n">
        <f aca="false">(1+Допущения!$D$12)^(B16-1)</f>
        <v>1</v>
      </c>
      <c r="F16" s="17" t="n">
        <f aca="false">Допущения!$D$71*E16</f>
        <v>2965.48</v>
      </c>
      <c r="G16" s="17" t="n">
        <f aca="false">MIN(G15*(1+Допущения!$D$33),Допущения!$D$34)</f>
        <v>685529.707511808</v>
      </c>
      <c r="H16" s="25" t="n">
        <f aca="false">MIN(Допущения!$D$30,G16/Допущения!$D$29)</f>
        <v>300</v>
      </c>
      <c r="I16" s="25" t="n">
        <f aca="false">MAX(0,G16-H16*Допущения!$D$29)/Допущения!$D$31</f>
        <v>39.254951251968</v>
      </c>
      <c r="J16" s="25" t="n">
        <f aca="false">IF(A16&gt;=Допущения!$D$35,Допущения!$D$36,0)</f>
        <v>40</v>
      </c>
      <c r="K16" s="25" t="n">
        <f aca="false">H16+I16+J16</f>
        <v>379.254951251968</v>
      </c>
      <c r="L16" s="25" t="n">
        <f aca="false">(L15-K15)*(1-Допущения!$D$44)+K15*(1-Допущения!$D$43)+K16</f>
        <v>1942.66601754027</v>
      </c>
      <c r="M16" s="25" t="n">
        <f aca="false">IF(A16&gt;=Допущения!$D$38,Допущения!$D$73/Допущения!$D$42*MIN(Допущения!$D$42,A16-Допущения!$D$38+1),0)</f>
        <v>60</v>
      </c>
      <c r="N16" s="25" t="n">
        <f aca="false">N15*(1-Допущения!$D$45)+M16</f>
        <v>232.5190432</v>
      </c>
      <c r="O16" s="25" t="n">
        <f aca="false">L16+N16</f>
        <v>2175.18506074027</v>
      </c>
      <c r="P16" s="25" t="n">
        <f aca="false">L16*Допущения!$D$25</f>
        <v>485.666504385068</v>
      </c>
      <c r="Q16" s="25" t="n">
        <f aca="false">L16*(1-Допущения!$D$25)+N16</f>
        <v>1689.5185563552</v>
      </c>
      <c r="R16" s="17" t="n">
        <f aca="false">MAX(Допущения!$D$18,ROUNDUP(Q16/Допущения!$D$68+P16/Допущения!$D$69,0))</f>
        <v>23</v>
      </c>
      <c r="S16" s="17" t="n">
        <f aca="false">ROUNDUP(R16/Допущения!$D$48,0)</f>
        <v>2</v>
      </c>
      <c r="T16" s="17" t="n">
        <f aca="false">L16*F16/(1+Допущения!$D$6)</f>
        <v>4722079.6899142</v>
      </c>
      <c r="U16" s="17" t="n">
        <f aca="false">N16*Допущения!$D$28*E16/(1+Допущения!$D$6)</f>
        <v>379272.865547541</v>
      </c>
      <c r="V16" s="17" t="n">
        <f aca="false">O16*Допущения!$D$26*Допущения!$D$27/(1+Допущения!$D$6)</f>
        <v>267440.786156591</v>
      </c>
      <c r="W16" s="17" t="n">
        <f aca="false">T16+U16+V16</f>
        <v>5368793.34161833</v>
      </c>
      <c r="X16" s="17" t="n">
        <f aca="false">J16*Допущения!$D$37</f>
        <v>20000</v>
      </c>
      <c r="Y16" s="17" t="n">
        <f aca="false">(R16*Допущения!$D$47+S16*Допущения!$D$49)*D16*Допущения!$D$9</f>
        <v>2382660</v>
      </c>
      <c r="Z16" s="17" t="n">
        <f aca="false">(MAX(0,R16-R15)+R16*Допущения!$D$50/12)*Допущения!$D$51*D16</f>
        <v>250250</v>
      </c>
      <c r="AA16" s="17" t="n">
        <f aca="false">O16*(Допущения!$D$53+Допущения!$D$54)+(L16*F16+N16*Допущения!$D$28*E16)*Допущения!$D$13</f>
        <v>905968.249288139</v>
      </c>
      <c r="AB16" s="17" t="n">
        <f aca="false">(R16+S16)*Допущения!$D$52</f>
        <v>67500</v>
      </c>
      <c r="AC16" s="17" t="n">
        <f aca="false">SUMPRODUCT(Допущения!$B$84:$B$91,Допущения!$C$84:$C$91,--(Допущения!$D$84:$D$91&lt;=A16))*D16*Допущения!$D$9</f>
        <v>1966020</v>
      </c>
      <c r="AD16" s="17" t="n">
        <f aca="false">(AC16+Y16)*Допущения!$D$14</f>
        <v>434868</v>
      </c>
      <c r="AE16" s="17" t="n">
        <f aca="false">Допущения!$D$55+Допущения!$D$56*O16/1000+Допущения!$D$57</f>
        <v>157401.480485922</v>
      </c>
      <c r="AF16" s="17" t="n">
        <f aca="false">SUMIF(Допущения!$B$95:$B$103,A16,Допущения!$C$95:$C$103)</f>
        <v>350000</v>
      </c>
      <c r="AG16" s="17" t="n">
        <v>0</v>
      </c>
      <c r="AH16" s="17" t="n">
        <f aca="false">G16+SUM(X16:AG16)</f>
        <v>7220197.43728587</v>
      </c>
      <c r="AI16" s="17" t="n">
        <f aca="false">W16-AH16</f>
        <v>-1851404.09566754</v>
      </c>
      <c r="AJ16" s="17" t="n">
        <f aca="false">AJ15+AI16</f>
        <v>-23145283.3148089</v>
      </c>
      <c r="AK16" s="17" t="n">
        <f aca="false">O16*Допущения!$D$58*Допущения!$D$59</f>
        <v>71781.1070044289</v>
      </c>
      <c r="AL16" s="17" t="n">
        <f aca="false">T16*Допущения!$D$72</f>
        <v>238088.051592313</v>
      </c>
      <c r="AM16" s="17" t="n">
        <f aca="false">IF(MOD(A16,12)=0,INDEX($F$70:$F$74,B16),0)</f>
        <v>0</v>
      </c>
      <c r="AN16" s="17" t="n">
        <f aca="false">AI16-AM16</f>
        <v>-1851404.09566754</v>
      </c>
      <c r="AO16" s="26" t="n">
        <f aca="false">1/(1+Допущения!$D$74)^A16</f>
        <v>0.833368003174696</v>
      </c>
      <c r="AP16" s="21" t="str">
        <f aca="false">IF(AND(A16&gt;Допущения!$D$19,MIN(AI16:AI$65)&gt;0),A16,"")</f>
        <v/>
      </c>
      <c r="AQ16" s="21" t="str">
        <f aca="false">IF(MIN(AJ16:AJ$65)&gt;0,A16,"")</f>
        <v/>
      </c>
    </row>
    <row r="17" customFormat="false" ht="15" hidden="false" customHeight="false" outlineLevel="0" collapsed="false">
      <c r="A17" s="28" t="n">
        <v>12</v>
      </c>
      <c r="B17" s="28" t="n">
        <f aca="false">INT((A17-1)/12)+1</f>
        <v>1</v>
      </c>
      <c r="C17" s="12" t="s">
        <v>462</v>
      </c>
      <c r="D17" s="15" t="n">
        <f aca="false">(1+Допущения!$D$11)^(B17-1)</f>
        <v>1</v>
      </c>
      <c r="E17" s="15" t="n">
        <f aca="false">(1+Допущения!$D$12)^(B17-1)</f>
        <v>1</v>
      </c>
      <c r="F17" s="17" t="n">
        <f aca="false">Допущения!$D$71*E17</f>
        <v>2965.48</v>
      </c>
      <c r="G17" s="17" t="n">
        <f aca="false">MIN(G16*(1+Допущения!$D$33),Допущения!$D$34)</f>
        <v>740372.084112753</v>
      </c>
      <c r="H17" s="25" t="n">
        <f aca="false">MIN(Допущения!$D$30,G17/Допущения!$D$29)</f>
        <v>300</v>
      </c>
      <c r="I17" s="25" t="n">
        <f aca="false">MAX(0,G17-H17*Допущения!$D$29)/Допущения!$D$31</f>
        <v>48.3953473521255</v>
      </c>
      <c r="J17" s="25" t="n">
        <f aca="false">IF(A17&gt;=Допущения!$D$35,Допущения!$D$36,0)</f>
        <v>40</v>
      </c>
      <c r="K17" s="25" t="n">
        <f aca="false">H17+I17+J17</f>
        <v>388.395347352126</v>
      </c>
      <c r="L17" s="25" t="n">
        <f aca="false">(L16-K16)*(1-Допущения!$D$44)+K16*(1-Допущения!$D$43)+K17</f>
        <v>2142.44296310211</v>
      </c>
      <c r="M17" s="25" t="n">
        <f aca="false">IF(A17&gt;=Допущения!$D$38,Допущения!$D$73/Допущения!$D$42*MIN(Допущения!$D$42,A17-Допущения!$D$38+1),0)</f>
        <v>60</v>
      </c>
      <c r="N17" s="25" t="n">
        <f aca="false">N16*(1-Допущения!$D$45)+M17</f>
        <v>287.868662336</v>
      </c>
      <c r="O17" s="25" t="n">
        <f aca="false">L17+N17</f>
        <v>2430.31162543811</v>
      </c>
      <c r="P17" s="25" t="n">
        <f aca="false">L17*Допущения!$D$25</f>
        <v>535.610740775526</v>
      </c>
      <c r="Q17" s="25" t="n">
        <f aca="false">L17*(1-Допущения!$D$25)+N17</f>
        <v>1894.70088466258</v>
      </c>
      <c r="R17" s="17" t="n">
        <f aca="false">MAX(Допущения!$D$18,ROUNDUP(Q17/Допущения!$D$68+P17/Допущения!$D$69,0))</f>
        <v>26</v>
      </c>
      <c r="S17" s="17" t="n">
        <f aca="false">ROUNDUP(R17/Допущения!$D$48,0)</f>
        <v>3</v>
      </c>
      <c r="T17" s="17" t="n">
        <f aca="false">L17*F17/(1+Допущения!$D$6)</f>
        <v>5207681.76903281</v>
      </c>
      <c r="U17" s="17" t="n">
        <f aca="false">N17*Допущения!$D$28*E17/(1+Допущения!$D$6)</f>
        <v>469556.260695607</v>
      </c>
      <c r="V17" s="17" t="n">
        <f aca="false">O17*Допущения!$D$26*Допущения!$D$27/(1+Допущения!$D$6)</f>
        <v>298808.806406324</v>
      </c>
      <c r="W17" s="17" t="n">
        <f aca="false">T17+U17+V17</f>
        <v>5976046.83613474</v>
      </c>
      <c r="X17" s="17" t="n">
        <f aca="false">J17*Допущения!$D$37</f>
        <v>20000</v>
      </c>
      <c r="Y17" s="17" t="n">
        <f aca="false">(R17*Допущения!$D$47+S17*Допущения!$D$49)*D17*Допущения!$D$9</f>
        <v>2799300</v>
      </c>
      <c r="Z17" s="17" t="n">
        <f aca="false">(MAX(0,R17-R16)+R17*Допущения!$D$50/12)*Допущения!$D$51*D17</f>
        <v>255500</v>
      </c>
      <c r="AA17" s="17" t="n">
        <f aca="false">O17*(Допущения!$D$53+Допущения!$D$54)+(L17*F17+N17*Допущения!$D$28*E17)*Допущения!$D$13</f>
        <v>1011735.89041774</v>
      </c>
      <c r="AB17" s="17" t="n">
        <f aca="false">(R17+S17)*Допущения!$D$52</f>
        <v>78300</v>
      </c>
      <c r="AC17" s="17" t="n">
        <f aca="false">SUMPRODUCT(Допущения!$B$84:$B$91,Допущения!$C$84:$C$91,--(Допущения!$D$84:$D$91&lt;=A17))*D17*Допущения!$D$9</f>
        <v>1966020</v>
      </c>
      <c r="AD17" s="17" t="n">
        <f aca="false">(AC17+Y17)*Допущения!$D$14</f>
        <v>476532</v>
      </c>
      <c r="AE17" s="17" t="n">
        <f aca="false">Допущения!$D$55+Допущения!$D$56*O17/1000+Допущения!$D$57</f>
        <v>159442.493003505</v>
      </c>
      <c r="AF17" s="17" t="n">
        <f aca="false">SUMIF(Допущения!$B$95:$B$103,A17,Допущения!$C$95:$C$103)</f>
        <v>300000</v>
      </c>
      <c r="AG17" s="17" t="n">
        <v>0</v>
      </c>
      <c r="AH17" s="17" t="n">
        <f aca="false">G17+SUM(X17:AG17)</f>
        <v>7807202.467534</v>
      </c>
      <c r="AI17" s="17" t="n">
        <f aca="false">W17-AH17</f>
        <v>-1831155.63139926</v>
      </c>
      <c r="AJ17" s="17" t="n">
        <f aca="false">AJ16+AI17</f>
        <v>-24976438.9462082</v>
      </c>
      <c r="AK17" s="17" t="n">
        <f aca="false">O17*Допущения!$D$58*Допущения!$D$59</f>
        <v>80200.2836394575</v>
      </c>
      <c r="AL17" s="17" t="n">
        <f aca="false">T17*Допущения!$D$72</f>
        <v>262572.190035268</v>
      </c>
      <c r="AM17" s="17" t="n">
        <f aca="false">IF(MOD(A17,12)=0,INDEX($F$70:$F$74,B17),0)</f>
        <v>0</v>
      </c>
      <c r="AN17" s="17" t="n">
        <f aca="false">AI17-AM17</f>
        <v>-1831155.63139926</v>
      </c>
      <c r="AO17" s="26" t="n">
        <f aca="false">1/(1+Допущения!$D$74)^A17</f>
        <v>0.819672131147542</v>
      </c>
      <c r="AP17" s="21" t="str">
        <f aca="false">IF(AND(A17&gt;Допущения!$D$19,MIN(AI17:AI$65)&gt;0),A17,"")</f>
        <v/>
      </c>
      <c r="AQ17" s="21" t="str">
        <f aca="false">IF(MIN(AJ17:AJ$65)&gt;0,A17,"")</f>
        <v/>
      </c>
    </row>
    <row r="18" customFormat="false" ht="15" hidden="false" customHeight="false" outlineLevel="0" collapsed="false">
      <c r="A18" s="28" t="n">
        <v>13</v>
      </c>
      <c r="B18" s="28" t="n">
        <f aca="false">INT((A18-1)/12)+1</f>
        <v>2</v>
      </c>
      <c r="C18" s="12" t="s">
        <v>462</v>
      </c>
      <c r="D18" s="15" t="n">
        <f aca="false">(1+Допущения!$D$11)^(B18-1)</f>
        <v>1.08</v>
      </c>
      <c r="E18" s="15" t="n">
        <f aca="false">(1+Допущения!$D$12)^(B18-1)</f>
        <v>1.07</v>
      </c>
      <c r="F18" s="17" t="n">
        <f aca="false">Допущения!$D$71*E18</f>
        <v>3173.0636</v>
      </c>
      <c r="G18" s="17" t="n">
        <f aca="false">MIN(G17*(1+Допущения!$D$33),Допущения!$D$34)</f>
        <v>799601.850841773</v>
      </c>
      <c r="H18" s="25" t="n">
        <f aca="false">MIN(Допущения!$D$30,G18/Допущения!$D$29)</f>
        <v>300</v>
      </c>
      <c r="I18" s="25" t="n">
        <f aca="false">MAX(0,G18-H18*Допущения!$D$29)/Допущения!$D$31</f>
        <v>58.2669751402955</v>
      </c>
      <c r="J18" s="25" t="n">
        <f aca="false">IF(A18&gt;=Допущения!$D$35,Допущения!$D$36,0)</f>
        <v>40</v>
      </c>
      <c r="K18" s="25" t="n">
        <f aca="false">H18+I18+J18</f>
        <v>398.266975140296</v>
      </c>
      <c r="L18" s="25" t="n">
        <f aca="false">(L17-K17)*(1-Допущения!$D$44)+K17*(1-Допущения!$D$43)+K18</f>
        <v>2338.36824445937</v>
      </c>
      <c r="M18" s="25" t="n">
        <f aca="false">IF(A18&gt;=Допущения!$D$38,Допущения!$D$73/Допущения!$D$42*MIN(Допущения!$D$42,A18-Допущения!$D$38+1),0)</f>
        <v>60</v>
      </c>
      <c r="N18" s="25" t="n">
        <f aca="false">N17*(1-Допущения!$D$45)+M18</f>
        <v>342.11128908928</v>
      </c>
      <c r="O18" s="25" t="n">
        <f aca="false">L18+N18</f>
        <v>2680.47953354865</v>
      </c>
      <c r="P18" s="25" t="n">
        <f aca="false">L18*Допущения!$D$25</f>
        <v>584.592061114843</v>
      </c>
      <c r="Q18" s="25" t="n">
        <f aca="false">L18*(1-Допущения!$D$25)+N18</f>
        <v>2095.88747243381</v>
      </c>
      <c r="R18" s="17" t="n">
        <f aca="false">MAX(Допущения!$D$18,ROUNDUP(Q18/Допущения!$D$68+P18/Допущения!$D$69,0))</f>
        <v>28</v>
      </c>
      <c r="S18" s="17" t="n">
        <f aca="false">ROUNDUP(R18/Допущения!$D$48,0)</f>
        <v>3</v>
      </c>
      <c r="T18" s="17" t="n">
        <f aca="false">L18*F18/(1+Допущения!$D$6)</f>
        <v>6081796.03269666</v>
      </c>
      <c r="U18" s="17" t="n">
        <f aca="false">N18*Допущения!$D$28*E18/(1+Допущения!$D$6)</f>
        <v>597096.367096561</v>
      </c>
      <c r="V18" s="17" t="n">
        <f aca="false">O18*Допущения!$D$26*Допущения!$D$27/(1+Допущения!$D$6)</f>
        <v>329567.155764178</v>
      </c>
      <c r="W18" s="17" t="n">
        <f aca="false">T18+U18+V18</f>
        <v>7008459.5555574</v>
      </c>
      <c r="X18" s="17" t="n">
        <f aca="false">J18*Допущения!$D$37</f>
        <v>20000</v>
      </c>
      <c r="Y18" s="17" t="n">
        <f aca="false">(R18*Допущения!$D$47+S18*Допущения!$D$49)*D18*Допущения!$D$9</f>
        <v>3220106.4</v>
      </c>
      <c r="Z18" s="17" t="n">
        <f aca="false">(MAX(0,R18-R17)+R18*Допущения!$D$50/12)*Допущения!$D$51*D18</f>
        <v>204120</v>
      </c>
      <c r="AA18" s="17" t="n">
        <f aca="false">O18*(Допущения!$D$53+Допущения!$D$54)+(L18*F18+N18*Допущения!$D$28*E18)*Допущения!$D$13</f>
        <v>1125043.50684472</v>
      </c>
      <c r="AB18" s="17" t="n">
        <f aca="false">(R18+S18)*Допущения!$D$52</f>
        <v>83700</v>
      </c>
      <c r="AC18" s="17" t="n">
        <f aca="false">SUMPRODUCT(Допущения!$B$84:$B$91,Допущения!$C$84:$C$91,--(Допущения!$D$84:$D$91&lt;=A18))*D18*Допущения!$D$9</f>
        <v>2123301.6</v>
      </c>
      <c r="AD18" s="17" t="n">
        <f aca="false">(AC18+Y18)*Допущения!$D$14</f>
        <v>534340.8</v>
      </c>
      <c r="AE18" s="17" t="n">
        <f aca="false">Допущения!$D$55+Допущения!$D$56*O18/1000+Допущения!$D$57</f>
        <v>161443.836268389</v>
      </c>
      <c r="AF18" s="17" t="n">
        <f aca="false">SUMIF(Допущения!$B$95:$B$103,A18,Допущения!$C$95:$C$103)</f>
        <v>0</v>
      </c>
      <c r="AG18" s="17" t="n">
        <v>0</v>
      </c>
      <c r="AH18" s="17" t="n">
        <f aca="false">G18+SUM(X18:AG18)</f>
        <v>8271657.99395488</v>
      </c>
      <c r="AI18" s="17" t="n">
        <f aca="false">W18-AH18</f>
        <v>-1263198.43839748</v>
      </c>
      <c r="AJ18" s="17" t="n">
        <f aca="false">AJ17+AI18</f>
        <v>-26239637.3846056</v>
      </c>
      <c r="AK18" s="17" t="n">
        <f aca="false">O18*Допущения!$D$58*Допущения!$D$59</f>
        <v>88455.8246071055</v>
      </c>
      <c r="AL18" s="17" t="n">
        <f aca="false">T18*Допущения!$D$72</f>
        <v>306645.17811916</v>
      </c>
      <c r="AM18" s="17" t="n">
        <f aca="false">IF(MOD(A18,12)=0,INDEX($F$70:$F$74,B18),0)</f>
        <v>0</v>
      </c>
      <c r="AN18" s="17" t="n">
        <f aca="false">AI18-AM18</f>
        <v>-1263198.43839748</v>
      </c>
      <c r="AO18" s="26" t="n">
        <f aca="false">1/(1+Допущения!$D$74)^A18</f>
        <v>0.806201342048782</v>
      </c>
      <c r="AP18" s="21" t="str">
        <f aca="false">IF(AND(A18&gt;Допущения!$D$19,MIN(AI18:AI$65)&gt;0),A18,"")</f>
        <v/>
      </c>
      <c r="AQ18" s="21" t="str">
        <f aca="false">IF(MIN(AJ18:AJ$65)&gt;0,A18,"")</f>
        <v/>
      </c>
    </row>
    <row r="19" customFormat="false" ht="15" hidden="false" customHeight="false" outlineLevel="0" collapsed="false">
      <c r="A19" s="28" t="n">
        <v>14</v>
      </c>
      <c r="B19" s="28" t="n">
        <f aca="false">INT((A19-1)/12)+1</f>
        <v>2</v>
      </c>
      <c r="C19" s="12" t="s">
        <v>462</v>
      </c>
      <c r="D19" s="15" t="n">
        <f aca="false">(1+Допущения!$D$11)^(B19-1)</f>
        <v>1.08</v>
      </c>
      <c r="E19" s="15" t="n">
        <f aca="false">(1+Допущения!$D$12)^(B19-1)</f>
        <v>1.07</v>
      </c>
      <c r="F19" s="17" t="n">
        <f aca="false">Допущения!$D$71*E19</f>
        <v>3173.0636</v>
      </c>
      <c r="G19" s="17" t="n">
        <f aca="false">MIN(G18*(1+Допущения!$D$33),Допущения!$D$34)</f>
        <v>863569.998909115</v>
      </c>
      <c r="H19" s="25" t="n">
        <f aca="false">MIN(Допущения!$D$30,G19/Допущения!$D$29)</f>
        <v>300</v>
      </c>
      <c r="I19" s="25" t="n">
        <f aca="false">MAX(0,G19-H19*Допущения!$D$29)/Допущения!$D$31</f>
        <v>68.9283331515192</v>
      </c>
      <c r="J19" s="25" t="n">
        <f aca="false">IF(A19&gt;=Допущения!$D$35,Допущения!$D$36,0)</f>
        <v>40</v>
      </c>
      <c r="K19" s="25" t="n">
        <f aca="false">H19+I19+J19</f>
        <v>408.928333151519</v>
      </c>
      <c r="L19" s="25" t="n">
        <f aca="false">(L18-K18)*(1-Допущения!$D$44)+K18*(1-Допущения!$D$43)+K19</f>
        <v>2531.32375766667</v>
      </c>
      <c r="M19" s="25" t="n">
        <f aca="false">IF(A19&gt;=Допущения!$D$38,Допущения!$D$73/Допущения!$D$42*MIN(Допущения!$D$42,A19-Допущения!$D$38+1),0)</f>
        <v>60</v>
      </c>
      <c r="N19" s="25" t="n">
        <f aca="false">N18*(1-Допущения!$D$45)+M19</f>
        <v>395.269063307494</v>
      </c>
      <c r="O19" s="25" t="n">
        <f aca="false">L19+N19</f>
        <v>2926.59282097417</v>
      </c>
      <c r="P19" s="25" t="n">
        <f aca="false">L19*Допущения!$D$25</f>
        <v>632.830939416668</v>
      </c>
      <c r="Q19" s="25" t="n">
        <f aca="false">L19*(1-Допущения!$D$25)+N19</f>
        <v>2293.7618815575</v>
      </c>
      <c r="R19" s="17" t="n">
        <f aca="false">MAX(Допущения!$D$18,ROUNDUP(Q19/Допущения!$D$68+P19/Допущения!$D$69,0))</f>
        <v>31</v>
      </c>
      <c r="S19" s="17" t="n">
        <f aca="false">ROUNDUP(R19/Допущения!$D$48,0)</f>
        <v>3</v>
      </c>
      <c r="T19" s="17" t="n">
        <f aca="false">L19*F19/(1+Допущения!$D$6)</f>
        <v>6583648.5862847</v>
      </c>
      <c r="U19" s="17" t="n">
        <f aca="false">N19*Допущения!$D$28*E19/(1+Допущения!$D$6)</f>
        <v>689874.111885777</v>
      </c>
      <c r="V19" s="17" t="n">
        <f aca="false">O19*Допущения!$D$26*Допущения!$D$27/(1+Допущения!$D$6)</f>
        <v>359826.986185348</v>
      </c>
      <c r="W19" s="17" t="n">
        <f aca="false">T19+U19+V19</f>
        <v>7633349.68435583</v>
      </c>
      <c r="X19" s="17" t="n">
        <f aca="false">J19*Допущения!$D$37</f>
        <v>20000</v>
      </c>
      <c r="Y19" s="17" t="n">
        <f aca="false">(R19*Допущения!$D$47+S19*Допущения!$D$49)*D19*Допущения!$D$9</f>
        <v>3515400</v>
      </c>
      <c r="Z19" s="17" t="n">
        <f aca="false">(MAX(0,R19-R18)+R19*Допущения!$D$50/12)*Допущения!$D$51*D19</f>
        <v>285390</v>
      </c>
      <c r="AA19" s="17" t="n">
        <f aca="false">O19*(Допущения!$D$53+Допущения!$D$54)+(L19*F19+N19*Допущения!$D$28*E19)*Допущения!$D$13</f>
        <v>1227932.93810739</v>
      </c>
      <c r="AB19" s="17" t="n">
        <f aca="false">(R19+S19)*Допущения!$D$52</f>
        <v>91800</v>
      </c>
      <c r="AC19" s="17" t="n">
        <f aca="false">SUMPRODUCT(Допущения!$B$84:$B$91,Допущения!$C$84:$C$91,--(Допущения!$D$84:$D$91&lt;=A19))*D19*Допущения!$D$9</f>
        <v>2123301.6</v>
      </c>
      <c r="AD19" s="17" t="n">
        <f aca="false">(AC19+Y19)*Допущения!$D$14</f>
        <v>563870.16</v>
      </c>
      <c r="AE19" s="17" t="n">
        <f aca="false">Допущения!$D$55+Допущения!$D$56*O19/1000+Допущения!$D$57</f>
        <v>163412.742567793</v>
      </c>
      <c r="AF19" s="17" t="n">
        <f aca="false">SUMIF(Допущения!$B$95:$B$103,A19,Допущения!$C$95:$C$103)</f>
        <v>0</v>
      </c>
      <c r="AG19" s="17" t="n">
        <v>0</v>
      </c>
      <c r="AH19" s="17" t="n">
        <f aca="false">G19+SUM(X19:AG19)</f>
        <v>8854677.4395843</v>
      </c>
      <c r="AI19" s="17" t="n">
        <f aca="false">W19-AH19</f>
        <v>-1221327.75522848</v>
      </c>
      <c r="AJ19" s="17" t="n">
        <f aca="false">AJ18+AI19</f>
        <v>-27460965.1398341</v>
      </c>
      <c r="AK19" s="17" t="n">
        <f aca="false">O19*Допущения!$D$58*Допущения!$D$59</f>
        <v>96577.5630921475</v>
      </c>
      <c r="AL19" s="17" t="n">
        <f aca="false">T19*Допущения!$D$72</f>
        <v>331948.668216035</v>
      </c>
      <c r="AM19" s="17" t="n">
        <f aca="false">IF(MOD(A19,12)=0,INDEX($F$70:$F$74,B19),0)</f>
        <v>0</v>
      </c>
      <c r="AN19" s="17" t="n">
        <f aca="false">AI19-AM19</f>
        <v>-1221327.75522848</v>
      </c>
      <c r="AO19" s="26" t="n">
        <f aca="false">1/(1+Допущения!$D$74)^A19</f>
        <v>0.792951936783932</v>
      </c>
      <c r="AP19" s="21" t="str">
        <f aca="false">IF(AND(A19&gt;Допущения!$D$19,MIN(AI19:AI$65)&gt;0),A19,"")</f>
        <v/>
      </c>
      <c r="AQ19" s="21" t="str">
        <f aca="false">IF(MIN(AJ19:AJ$65)&gt;0,A19,"")</f>
        <v/>
      </c>
    </row>
    <row r="20" customFormat="false" ht="15" hidden="false" customHeight="false" outlineLevel="0" collapsed="false">
      <c r="A20" s="28" t="n">
        <v>15</v>
      </c>
      <c r="B20" s="28" t="n">
        <f aca="false">INT((A20-1)/12)+1</f>
        <v>2</v>
      </c>
      <c r="C20" s="12" t="s">
        <v>462</v>
      </c>
      <c r="D20" s="15" t="n">
        <f aca="false">(1+Допущения!$D$11)^(B20-1)</f>
        <v>1.08</v>
      </c>
      <c r="E20" s="15" t="n">
        <f aca="false">(1+Допущения!$D$12)^(B20-1)</f>
        <v>1.07</v>
      </c>
      <c r="F20" s="17" t="n">
        <f aca="false">Допущения!$D$71*E20</f>
        <v>3173.0636</v>
      </c>
      <c r="G20" s="17" t="n">
        <f aca="false">MIN(G19*(1+Допущения!$D$33),Допущения!$D$34)</f>
        <v>932655.598821844</v>
      </c>
      <c r="H20" s="25" t="n">
        <f aca="false">MIN(Допущения!$D$30,G20/Допущения!$D$29)</f>
        <v>300</v>
      </c>
      <c r="I20" s="25" t="n">
        <f aca="false">MAX(0,G20-H20*Допущения!$D$29)/Допущения!$D$31</f>
        <v>80.4425998036407</v>
      </c>
      <c r="J20" s="25" t="n">
        <f aca="false">IF(A20&gt;=Допущения!$D$35,Допущения!$D$36,0)</f>
        <v>40</v>
      </c>
      <c r="K20" s="25" t="n">
        <f aca="false">H20+I20+J20</f>
        <v>420.442599803641</v>
      </c>
      <c r="L20" s="25" t="n">
        <f aca="false">(L19-K19)*(1-Допущения!$D$44)+K19*(1-Допущения!$D$43)+K20</f>
        <v>2722.19054871152</v>
      </c>
      <c r="M20" s="25" t="n">
        <f aca="false">IF(A20&gt;=Допущения!$D$38,Допущения!$D$73/Допущения!$D$42*MIN(Допущения!$D$42,A20-Допущения!$D$38+1),0)</f>
        <v>60</v>
      </c>
      <c r="N20" s="25" t="n">
        <f aca="false">N19*(1-Допущения!$D$45)+M20</f>
        <v>447.363682041345</v>
      </c>
      <c r="O20" s="25" t="n">
        <f aca="false">L20+N20</f>
        <v>3169.55423075287</v>
      </c>
      <c r="P20" s="25" t="n">
        <f aca="false">L20*Допущения!$D$25</f>
        <v>680.547637177881</v>
      </c>
      <c r="Q20" s="25" t="n">
        <f aca="false">L20*(1-Допущения!$D$25)+N20</f>
        <v>2489.00659357499</v>
      </c>
      <c r="R20" s="17" t="n">
        <f aca="false">MAX(Допущения!$D$18,ROUNDUP(Q20/Допущения!$D$68+P20/Допущения!$D$69,0))</f>
        <v>33</v>
      </c>
      <c r="S20" s="17" t="n">
        <f aca="false">ROUNDUP(R20/Допущения!$D$48,0)</f>
        <v>3</v>
      </c>
      <c r="T20" s="17" t="n">
        <f aca="false">L20*F20/(1+Допущения!$D$6)</f>
        <v>7080068.64129554</v>
      </c>
      <c r="U20" s="17" t="n">
        <f aca="false">N20*Допущения!$D$28*E20/(1+Допущения!$D$6)</f>
        <v>780796.301779209</v>
      </c>
      <c r="V20" s="17" t="n">
        <f aca="false">O20*Допущения!$D$26*Допущения!$D$27/(1+Допущения!$D$6)</f>
        <v>389699.290666336</v>
      </c>
      <c r="W20" s="17" t="n">
        <f aca="false">T20+U20+V20</f>
        <v>8250564.23374109</v>
      </c>
      <c r="X20" s="17" t="n">
        <f aca="false">J20*Допущения!$D$37</f>
        <v>20000</v>
      </c>
      <c r="Y20" s="17" t="n">
        <f aca="false">(R20*Допущения!$D$47+S20*Допущения!$D$49)*D20*Допущения!$D$9</f>
        <v>3712262.4</v>
      </c>
      <c r="Z20" s="17" t="n">
        <f aca="false">(MAX(0,R20-R19)+R20*Допущения!$D$50/12)*Допущения!$D$51*D20</f>
        <v>213570</v>
      </c>
      <c r="AA20" s="17" t="n">
        <f aca="false">O20*(Допущения!$D$53+Допущения!$D$54)+(L20*F20+N20*Допущения!$D$28*E20)*Допущения!$D$13</f>
        <v>1329511.88837472</v>
      </c>
      <c r="AB20" s="17" t="n">
        <f aca="false">(R20+S20)*Допущения!$D$52</f>
        <v>97200</v>
      </c>
      <c r="AC20" s="17" t="n">
        <f aca="false">SUMPRODUCT(Допущения!$B$84:$B$91,Допущения!$C$84:$C$91,--(Допущения!$D$84:$D$91&lt;=A20))*D20*Допущения!$D$9</f>
        <v>2123301.6</v>
      </c>
      <c r="AD20" s="17" t="n">
        <f aca="false">(AC20+Y20)*Допущения!$D$14</f>
        <v>583556.4</v>
      </c>
      <c r="AE20" s="17" t="n">
        <f aca="false">Допущения!$D$55+Допущения!$D$56*O20/1000+Допущения!$D$57</f>
        <v>165356.433846023</v>
      </c>
      <c r="AF20" s="17" t="n">
        <f aca="false">SUMIF(Допущения!$B$95:$B$103,A20,Допущения!$C$95:$C$103)</f>
        <v>0</v>
      </c>
      <c r="AG20" s="17" t="n">
        <v>0</v>
      </c>
      <c r="AH20" s="17" t="n">
        <f aca="false">G20+SUM(X20:AG20)</f>
        <v>9177414.32104259</v>
      </c>
      <c r="AI20" s="17" t="n">
        <f aca="false">W20-AH20</f>
        <v>-926850.087301497</v>
      </c>
      <c r="AJ20" s="17" t="n">
        <f aca="false">AJ19+AI20</f>
        <v>-28387815.2271356</v>
      </c>
      <c r="AK20" s="17" t="n">
        <f aca="false">O20*Допущения!$D$58*Допущения!$D$59</f>
        <v>104595.289614845</v>
      </c>
      <c r="AL20" s="17" t="n">
        <f aca="false">T20*Допущения!$D$72</f>
        <v>356978.250821624</v>
      </c>
      <c r="AM20" s="17" t="n">
        <f aca="false">IF(MOD(A20,12)=0,INDEX($F$70:$F$74,B20),0)</f>
        <v>0</v>
      </c>
      <c r="AN20" s="17" t="n">
        <f aca="false">AI20-AM20</f>
        <v>-926850.087301497</v>
      </c>
      <c r="AO20" s="26" t="n">
        <f aca="false">1/(1+Допущения!$D$74)^A20</f>
        <v>0.77992027705077</v>
      </c>
      <c r="AP20" s="21" t="str">
        <f aca="false">IF(AND(A20&gt;Допущения!$D$19,MIN(AI20:AI$65)&gt;0),A20,"")</f>
        <v/>
      </c>
      <c r="AQ20" s="21" t="str">
        <f aca="false">IF(MIN(AJ20:AJ$65)&gt;0,A20,"")</f>
        <v/>
      </c>
    </row>
    <row r="21" customFormat="false" ht="15" hidden="false" customHeight="false" outlineLevel="0" collapsed="false">
      <c r="A21" s="28" t="n">
        <v>16</v>
      </c>
      <c r="B21" s="28" t="n">
        <f aca="false">INT((A21-1)/12)+1</f>
        <v>2</v>
      </c>
      <c r="C21" s="12" t="s">
        <v>462</v>
      </c>
      <c r="D21" s="15" t="n">
        <f aca="false">(1+Допущения!$D$11)^(B21-1)</f>
        <v>1.08</v>
      </c>
      <c r="E21" s="15" t="n">
        <f aca="false">(1+Допущения!$D$12)^(B21-1)</f>
        <v>1.07</v>
      </c>
      <c r="F21" s="17" t="n">
        <f aca="false">Допущения!$D$71*E21</f>
        <v>3173.0636</v>
      </c>
      <c r="G21" s="17" t="n">
        <f aca="false">MIN(G20*(1+Допущения!$D$33),Допущения!$D$34)</f>
        <v>1007268.04672759</v>
      </c>
      <c r="H21" s="25" t="n">
        <f aca="false">MIN(Допущения!$D$30,G21/Допущения!$D$29)</f>
        <v>300</v>
      </c>
      <c r="I21" s="25" t="n">
        <f aca="false">MAX(0,G21-H21*Допущения!$D$29)/Допущения!$D$31</f>
        <v>92.878007787932</v>
      </c>
      <c r="J21" s="25" t="n">
        <f aca="false">IF(A21&gt;=Допущения!$D$35,Допущения!$D$36,0)</f>
        <v>40</v>
      </c>
      <c r="K21" s="25" t="n">
        <f aca="false">H21+I21+J21</f>
        <v>432.878007787932</v>
      </c>
      <c r="L21" s="25" t="n">
        <f aca="false">(L20-K20)*(1-Допущения!$D$44)+K20*(1-Допущения!$D$43)+K21</f>
        <v>2911.85302961407</v>
      </c>
      <c r="M21" s="25" t="n">
        <f aca="false">IF(A21&gt;=Допущения!$D$38,Допущения!$D$73/Допущения!$D$42*MIN(Допущения!$D$42,A21-Допущения!$D$38+1),0)</f>
        <v>60</v>
      </c>
      <c r="N21" s="25" t="n">
        <f aca="false">N20*(1-Допущения!$D$45)+M21</f>
        <v>498.416408400518</v>
      </c>
      <c r="O21" s="25" t="n">
        <f aca="false">L21+N21</f>
        <v>3410.26943801459</v>
      </c>
      <c r="P21" s="25" t="n">
        <f aca="false">L21*Допущения!$D$25</f>
        <v>727.963257403518</v>
      </c>
      <c r="Q21" s="25" t="n">
        <f aca="false">L21*(1-Допущения!$D$25)+N21</f>
        <v>2682.30618061107</v>
      </c>
      <c r="R21" s="17" t="n">
        <f aca="false">MAX(Допущения!$D$18,ROUNDUP(Q21/Допущения!$D$68+P21/Допущения!$D$69,0))</f>
        <v>36</v>
      </c>
      <c r="S21" s="17" t="n">
        <f aca="false">ROUNDUP(R21/Допущения!$D$48,0)</f>
        <v>3</v>
      </c>
      <c r="T21" s="17" t="n">
        <f aca="false">L21*F21/(1+Допущения!$D$6)</f>
        <v>7573356.44001487</v>
      </c>
      <c r="U21" s="17" t="n">
        <f aca="false">N21*Допущения!$D$28*E21/(1+Допущения!$D$6)</f>
        <v>869900.047874772</v>
      </c>
      <c r="V21" s="17" t="n">
        <f aca="false">O21*Допущения!$D$26*Допущения!$D$27/(1+Допущения!$D$6)</f>
        <v>419295.422706712</v>
      </c>
      <c r="W21" s="17" t="n">
        <f aca="false">T21+U21+V21</f>
        <v>8862551.91059635</v>
      </c>
      <c r="X21" s="17" t="n">
        <f aca="false">J21*Допущения!$D$37</f>
        <v>20000</v>
      </c>
      <c r="Y21" s="17" t="n">
        <f aca="false">(R21*Допущения!$D$47+S21*Допущения!$D$49)*D21*Допущения!$D$9</f>
        <v>4007556</v>
      </c>
      <c r="Z21" s="17" t="n">
        <f aca="false">(MAX(0,R21-R20)+R21*Допущения!$D$50/12)*Допущения!$D$51*D21</f>
        <v>294840</v>
      </c>
      <c r="AA21" s="17" t="n">
        <f aca="false">O21*(Допущения!$D$53+Допущения!$D$54)+(L21*F21+N21*Допущения!$D$28*E21)*Допущения!$D$13</f>
        <v>1430162.25734938</v>
      </c>
      <c r="AB21" s="17" t="n">
        <f aca="false">(R21+S21)*Допущения!$D$52</f>
        <v>105300</v>
      </c>
      <c r="AC21" s="17" t="n">
        <f aca="false">SUMPRODUCT(Допущения!$B$84:$B$91,Допущения!$C$84:$C$91,--(Допущения!$D$84:$D$91&lt;=A21))*D21*Допущения!$D$9</f>
        <v>2123301.6</v>
      </c>
      <c r="AD21" s="17" t="n">
        <f aca="false">(AC21+Y21)*Допущения!$D$14</f>
        <v>613085.76</v>
      </c>
      <c r="AE21" s="17" t="n">
        <f aca="false">Допущения!$D$55+Допущения!$D$56*O21/1000+Допущения!$D$57</f>
        <v>167282.155504117</v>
      </c>
      <c r="AF21" s="17" t="n">
        <f aca="false">SUMIF(Допущения!$B$95:$B$103,A21,Допущения!$C$95:$C$103)</f>
        <v>0</v>
      </c>
      <c r="AG21" s="17" t="n">
        <v>0</v>
      </c>
      <c r="AH21" s="17" t="n">
        <f aca="false">G21+SUM(X21:AG21)</f>
        <v>9768795.81958109</v>
      </c>
      <c r="AI21" s="17" t="n">
        <f aca="false">W21-AH21</f>
        <v>-906243.908984741</v>
      </c>
      <c r="AJ21" s="17" t="n">
        <f aca="false">AJ20+AI21</f>
        <v>-29294059.1361204</v>
      </c>
      <c r="AK21" s="17" t="n">
        <f aca="false">O21*Допущения!$D$58*Допущения!$D$59</f>
        <v>112538.891454481</v>
      </c>
      <c r="AL21" s="17" t="n">
        <f aca="false">T21*Допущения!$D$72</f>
        <v>381849.904538565</v>
      </c>
      <c r="AM21" s="17" t="n">
        <f aca="false">IF(MOD(A21,12)=0,INDEX($F$70:$F$74,B21),0)</f>
        <v>0</v>
      </c>
      <c r="AN21" s="17" t="n">
        <f aca="false">AI21-AM21</f>
        <v>-906243.908984741</v>
      </c>
      <c r="AO21" s="26" t="n">
        <f aca="false">1/(1+Допущения!$D$74)^A21</f>
        <v>0.767102784340253</v>
      </c>
      <c r="AP21" s="21" t="str">
        <f aca="false">IF(AND(A21&gt;Допущения!$D$19,MIN(AI21:AI$65)&gt;0),A21,"")</f>
        <v/>
      </c>
      <c r="AQ21" s="21" t="str">
        <f aca="false">IF(MIN(AJ21:AJ$65)&gt;0,A21,"")</f>
        <v/>
      </c>
    </row>
    <row r="22" customFormat="false" ht="15" hidden="false" customHeight="false" outlineLevel="0" collapsed="false">
      <c r="A22" s="28" t="n">
        <v>17</v>
      </c>
      <c r="B22" s="28" t="n">
        <f aca="false">INT((A22-1)/12)+1</f>
        <v>2</v>
      </c>
      <c r="C22" s="12" t="s">
        <v>462</v>
      </c>
      <c r="D22" s="15" t="n">
        <f aca="false">(1+Допущения!$D$11)^(B22-1)</f>
        <v>1.08</v>
      </c>
      <c r="E22" s="15" t="n">
        <f aca="false">(1+Допущения!$D$12)^(B22-1)</f>
        <v>1.07</v>
      </c>
      <c r="F22" s="17" t="n">
        <f aca="false">Допущения!$D$71*E22</f>
        <v>3173.0636</v>
      </c>
      <c r="G22" s="17" t="n">
        <f aca="false">MIN(G21*(1+Допущения!$D$33),Допущения!$D$34)</f>
        <v>1087849.4904658</v>
      </c>
      <c r="H22" s="25" t="n">
        <f aca="false">MIN(Допущения!$D$30,G22/Допущения!$D$29)</f>
        <v>300</v>
      </c>
      <c r="I22" s="25" t="n">
        <f aca="false">MAX(0,G22-H22*Допущения!$D$29)/Допущения!$D$31</f>
        <v>106.308248410967</v>
      </c>
      <c r="J22" s="25" t="n">
        <f aca="false">IF(A22&gt;=Допущения!$D$35,Допущения!$D$36,0)</f>
        <v>40</v>
      </c>
      <c r="K22" s="25" t="n">
        <f aca="false">H22+I22+J22</f>
        <v>446.308248410967</v>
      </c>
      <c r="L22" s="25" t="n">
        <f aca="false">(L21-K21)*(1-Допущения!$D$44)+K21*(1-Допущения!$D$43)+K22</f>
        <v>3101.20327476849</v>
      </c>
      <c r="M22" s="25" t="n">
        <f aca="false">IF(A22&gt;=Допущения!$D$38,Допущения!$D$73/Допущения!$D$42*MIN(Допущения!$D$42,A22-Допущения!$D$38+1),0)</f>
        <v>60</v>
      </c>
      <c r="N22" s="25" t="n">
        <f aca="false">N21*(1-Допущения!$D$45)+M22</f>
        <v>548.448080232507</v>
      </c>
      <c r="O22" s="25" t="n">
        <f aca="false">L22+N22</f>
        <v>3649.651355001</v>
      </c>
      <c r="P22" s="25" t="n">
        <f aca="false">L22*Допущения!$D$25</f>
        <v>775.300818692122</v>
      </c>
      <c r="Q22" s="25" t="n">
        <f aca="false">L22*(1-Допущения!$D$25)+N22</f>
        <v>2874.35053630887</v>
      </c>
      <c r="R22" s="17" t="n">
        <f aca="false">MAX(Допущения!$D$18,ROUNDUP(Q22/Допущения!$D$68+P22/Допущения!$D$69,0))</f>
        <v>38</v>
      </c>
      <c r="S22" s="17" t="n">
        <f aca="false">ROUNDUP(R22/Допущения!$D$48,0)</f>
        <v>4</v>
      </c>
      <c r="T22" s="17" t="n">
        <f aca="false">L22*F22/(1+Допущения!$D$6)</f>
        <v>8065832.15358089</v>
      </c>
      <c r="U22" s="17" t="n">
        <f aca="false">N22*Допущения!$D$28*E22/(1+Допущения!$D$6)</f>
        <v>957221.719048424</v>
      </c>
      <c r="V22" s="17" t="n">
        <f aca="false">O22*Допущения!$D$26*Допущения!$D$27/(1+Допущения!$D$6)</f>
        <v>448727.625614876</v>
      </c>
      <c r="W22" s="17" t="n">
        <f aca="false">T22+U22+V22</f>
        <v>9471781.49824419</v>
      </c>
      <c r="X22" s="17" t="n">
        <f aca="false">J22*Допущения!$D$37</f>
        <v>20000</v>
      </c>
      <c r="Y22" s="17" t="n">
        <f aca="false">(R22*Допущения!$D$47+S22*Допущения!$D$49)*D22*Допущения!$D$9</f>
        <v>4359096</v>
      </c>
      <c r="Z22" s="17" t="n">
        <f aca="false">(MAX(0,R22-R21)+R22*Допущения!$D$50/12)*Допущения!$D$51*D22</f>
        <v>223020</v>
      </c>
      <c r="AA22" s="17" t="n">
        <f aca="false">O22*(Допущения!$D$53+Допущения!$D$54)+(L22*F22+N22*Допущения!$D$28*E22)*Допущения!$D$13</f>
        <v>1530269.0076183</v>
      </c>
      <c r="AB22" s="17" t="n">
        <f aca="false">(R22+S22)*Допущения!$D$52</f>
        <v>113400</v>
      </c>
      <c r="AC22" s="17" t="n">
        <f aca="false">SUMPRODUCT(Допущения!$B$84:$B$91,Допущения!$C$84:$C$91,--(Допущения!$D$84:$D$91&lt;=A22))*D22*Допущения!$D$9</f>
        <v>2123301.6</v>
      </c>
      <c r="AD22" s="17" t="n">
        <f aca="false">(AC22+Y22)*Допущения!$D$14</f>
        <v>648239.76</v>
      </c>
      <c r="AE22" s="17" t="n">
        <f aca="false">Допущения!$D$55+Допущения!$D$56*O22/1000+Допущения!$D$57</f>
        <v>169197.210840008</v>
      </c>
      <c r="AF22" s="17" t="n">
        <f aca="false">SUMIF(Допущения!$B$95:$B$103,A22,Допущения!$C$95:$C$103)</f>
        <v>0</v>
      </c>
      <c r="AG22" s="17" t="n">
        <v>0</v>
      </c>
      <c r="AH22" s="17" t="n">
        <f aca="false">G22+SUM(X22:AG22)</f>
        <v>10274373.0689241</v>
      </c>
      <c r="AI22" s="17" t="n">
        <f aca="false">W22-AH22</f>
        <v>-802591.570679918</v>
      </c>
      <c r="AJ22" s="17" t="n">
        <f aca="false">AJ21+AI22</f>
        <v>-30096650.7068003</v>
      </c>
      <c r="AK22" s="17" t="n">
        <f aca="false">O22*Допущения!$D$58*Допущения!$D$59</f>
        <v>120438.494715033</v>
      </c>
      <c r="AL22" s="17" t="n">
        <f aca="false">T22*Допущения!$D$72</f>
        <v>406680.612785591</v>
      </c>
      <c r="AM22" s="17" t="n">
        <f aca="false">IF(MOD(A22,12)=0,INDEX($F$70:$F$74,B22),0)</f>
        <v>0</v>
      </c>
      <c r="AN22" s="17" t="n">
        <f aca="false">AI22-AM22</f>
        <v>-802591.570679918</v>
      </c>
      <c r="AO22" s="26" t="n">
        <f aca="false">1/(1+Допущения!$D$74)^A22</f>
        <v>0.754495938953851</v>
      </c>
      <c r="AP22" s="21" t="str">
        <f aca="false">IF(AND(A22&gt;Допущения!$D$19,MIN(AI22:AI$65)&gt;0),A22,"")</f>
        <v/>
      </c>
      <c r="AQ22" s="21" t="str">
        <f aca="false">IF(MIN(AJ22:AJ$65)&gt;0,A22,"")</f>
        <v/>
      </c>
    </row>
    <row r="23" customFormat="false" ht="15" hidden="false" customHeight="false" outlineLevel="0" collapsed="false">
      <c r="A23" s="28" t="n">
        <v>18</v>
      </c>
      <c r="B23" s="28" t="n">
        <f aca="false">INT((A23-1)/12)+1</f>
        <v>2</v>
      </c>
      <c r="C23" s="12" t="s">
        <v>462</v>
      </c>
      <c r="D23" s="15" t="n">
        <f aca="false">(1+Допущения!$D$11)^(B23-1)</f>
        <v>1.08</v>
      </c>
      <c r="E23" s="15" t="n">
        <f aca="false">(1+Допущения!$D$12)^(B23-1)</f>
        <v>1.07</v>
      </c>
      <c r="F23" s="17" t="n">
        <f aca="false">Допущения!$D$71*E23</f>
        <v>3173.0636</v>
      </c>
      <c r="G23" s="17" t="n">
        <f aca="false">MIN(G22*(1+Допущения!$D$33),Допущения!$D$34)</f>
        <v>1174877.44970306</v>
      </c>
      <c r="H23" s="25" t="n">
        <f aca="false">MIN(Допущения!$D$30,G23/Допущения!$D$29)</f>
        <v>300</v>
      </c>
      <c r="I23" s="25" t="n">
        <f aca="false">MAX(0,G23-H23*Допущения!$D$29)/Допущения!$D$31</f>
        <v>120.812908283844</v>
      </c>
      <c r="J23" s="25" t="n">
        <f aca="false">IF(A23&gt;=Допущения!$D$35,Допущения!$D$36,0)</f>
        <v>40</v>
      </c>
      <c r="K23" s="25" t="n">
        <f aca="false">H23+I23+J23</f>
        <v>460.812908283844</v>
      </c>
      <c r="L23" s="25" t="n">
        <f aca="false">(L22-K22)*(1-Допущения!$D$44)+K22*(1-Допущения!$D$43)+K23</f>
        <v>3291.14541936814</v>
      </c>
      <c r="M23" s="25" t="n">
        <f aca="false">IF(A23&gt;=Допущения!$D$38,Допущения!$D$73/Допущения!$D$42*MIN(Допущения!$D$42,A23-Допущения!$D$38+1),0)</f>
        <v>60</v>
      </c>
      <c r="N23" s="25" t="n">
        <f aca="false">N22*(1-Допущения!$D$45)+M23</f>
        <v>597.479118627857</v>
      </c>
      <c r="O23" s="25" t="n">
        <f aca="false">L23+N23</f>
        <v>3888.624537996</v>
      </c>
      <c r="P23" s="25" t="n">
        <f aca="false">L23*Допущения!$D$25</f>
        <v>822.786354842035</v>
      </c>
      <c r="Q23" s="25" t="n">
        <f aca="false">L23*(1-Допущения!$D$25)+N23</f>
        <v>3065.83818315396</v>
      </c>
      <c r="R23" s="17" t="n">
        <f aca="false">MAX(Допущения!$D$18,ROUNDUP(Q23/Допущения!$D$68+P23/Допущения!$D$69,0))</f>
        <v>40</v>
      </c>
      <c r="S23" s="17" t="n">
        <f aca="false">ROUNDUP(R23/Допущения!$D$48,0)</f>
        <v>4</v>
      </c>
      <c r="T23" s="17" t="n">
        <f aca="false">L23*F23/(1+Допущения!$D$6)</f>
        <v>8559847.32172441</v>
      </c>
      <c r="U23" s="17" t="n">
        <f aca="false">N23*Допущения!$D$28*E23/(1+Допущения!$D$6)</f>
        <v>1042796.9567986</v>
      </c>
      <c r="V23" s="17" t="n">
        <f aca="false">O23*Допущения!$D$26*Допущения!$D$27/(1+Допущения!$D$6)</f>
        <v>478109.57434377</v>
      </c>
      <c r="W23" s="17" t="n">
        <f aca="false">T23+U23+V23</f>
        <v>10080753.8528668</v>
      </c>
      <c r="X23" s="17" t="n">
        <f aca="false">J23*Допущения!$D$37</f>
        <v>20000</v>
      </c>
      <c r="Y23" s="17" t="n">
        <f aca="false">(R23*Допущения!$D$47+S23*Допущения!$D$49)*D23*Допущения!$D$9</f>
        <v>4555958.4</v>
      </c>
      <c r="Z23" s="17" t="n">
        <f aca="false">(MAX(0,R23-R22)+R23*Допущения!$D$50/12)*Допущения!$D$51*D23</f>
        <v>226800</v>
      </c>
      <c r="AA23" s="17" t="n">
        <f aca="false">O23*(Допущения!$D$53+Допущения!$D$54)+(L23*F23+N23*Допущения!$D$28*E23)*Допущения!$D$13</f>
        <v>1630222.0247249</v>
      </c>
      <c r="AB23" s="17" t="n">
        <f aca="false">(R23+S23)*Допущения!$D$52</f>
        <v>118800</v>
      </c>
      <c r="AC23" s="17" t="n">
        <f aca="false">SUMPRODUCT(Допущения!$B$84:$B$91,Допущения!$C$84:$C$91,--(Допущения!$D$84:$D$91&lt;=A23))*D23*Допущения!$D$9</f>
        <v>2123301.6</v>
      </c>
      <c r="AD23" s="17" t="n">
        <f aca="false">(AC23+Y23)*Допущения!$D$14</f>
        <v>667926</v>
      </c>
      <c r="AE23" s="17" t="n">
        <f aca="false">Допущения!$D$55+Допущения!$D$56*O23/1000+Допущения!$D$57</f>
        <v>171108.996303968</v>
      </c>
      <c r="AF23" s="17" t="n">
        <f aca="false">SUMIF(Допущения!$B$95:$B$103,A23,Допущения!$C$95:$C$103)</f>
        <v>0</v>
      </c>
      <c r="AG23" s="17" t="n">
        <v>0</v>
      </c>
      <c r="AH23" s="17" t="n">
        <f aca="false">G23+SUM(X23:AG23)</f>
        <v>10688994.4707319</v>
      </c>
      <c r="AI23" s="17" t="n">
        <f aca="false">W23-AH23</f>
        <v>-608240.617865155</v>
      </c>
      <c r="AJ23" s="17" t="n">
        <f aca="false">AJ22+AI23</f>
        <v>-30704891.3246654</v>
      </c>
      <c r="AK23" s="17" t="n">
        <f aca="false">O23*Допущения!$D$58*Допущения!$D$59</f>
        <v>128324.609753868</v>
      </c>
      <c r="AL23" s="17" t="n">
        <f aca="false">T23*Допущения!$D$72</f>
        <v>431588.940591147</v>
      </c>
      <c r="AM23" s="17" t="n">
        <f aca="false">IF(MOD(A23,12)=0,INDEX($F$70:$F$74,B23),0)</f>
        <v>0</v>
      </c>
      <c r="AN23" s="17" t="n">
        <f aca="false">AI23-AM23</f>
        <v>-608240.617865155</v>
      </c>
      <c r="AO23" s="26" t="n">
        <f aca="false">1/(1+Допущения!$D$74)^A23</f>
        <v>0.742096279037039</v>
      </c>
      <c r="AP23" s="21" t="str">
        <f aca="false">IF(AND(A23&gt;Допущения!$D$19,MIN(AI23:AI$65)&gt;0),A23,"")</f>
        <v/>
      </c>
      <c r="AQ23" s="21" t="str">
        <f aca="false">IF(MIN(AJ23:AJ$65)&gt;0,A23,"")</f>
        <v/>
      </c>
    </row>
    <row r="24" customFormat="false" ht="15" hidden="false" customHeight="false" outlineLevel="0" collapsed="false">
      <c r="A24" s="28" t="n">
        <v>19</v>
      </c>
      <c r="B24" s="28" t="n">
        <f aca="false">INT((A24-1)/12)+1</f>
        <v>2</v>
      </c>
      <c r="C24" s="12" t="s">
        <v>462</v>
      </c>
      <c r="D24" s="15" t="n">
        <f aca="false">(1+Допущения!$D$11)^(B24-1)</f>
        <v>1.08</v>
      </c>
      <c r="E24" s="15" t="n">
        <f aca="false">(1+Допущения!$D$12)^(B24-1)</f>
        <v>1.07</v>
      </c>
      <c r="F24" s="17" t="n">
        <f aca="false">Допущения!$D$71*E24</f>
        <v>3173.0636</v>
      </c>
      <c r="G24" s="17" t="n">
        <f aca="false">MIN(G23*(1+Допущения!$D$33),Допущения!$D$34)</f>
        <v>1268867.64567931</v>
      </c>
      <c r="H24" s="25" t="n">
        <f aca="false">MIN(Допущения!$D$30,G24/Допущения!$D$29)</f>
        <v>300</v>
      </c>
      <c r="I24" s="25" t="n">
        <f aca="false">MAX(0,G24-H24*Допущения!$D$29)/Допущения!$D$31</f>
        <v>136.477940946551</v>
      </c>
      <c r="J24" s="25" t="n">
        <f aca="false">IF(A24&gt;=Допущения!$D$35,Допущения!$D$36,0)</f>
        <v>40</v>
      </c>
      <c r="K24" s="25" t="n">
        <f aca="false">H24+I24+J24</f>
        <v>476.477940946551</v>
      </c>
      <c r="L24" s="25" t="n">
        <f aca="false">(L23-K23)*(1-Допущения!$D$44)+K23*(1-Допущения!$D$43)+K24</f>
        <v>3482.60018257867</v>
      </c>
      <c r="M24" s="25" t="n">
        <f aca="false">IF(A24&gt;=Допущения!$D$38,Допущения!$D$73/Допущения!$D$42*MIN(Допущения!$D$42,A24-Допущения!$D$38+1),0)</f>
        <v>60</v>
      </c>
      <c r="N24" s="25" t="n">
        <f aca="false">N23*(1-Допущения!$D$45)+M24</f>
        <v>645.5295362553</v>
      </c>
      <c r="O24" s="25" t="n">
        <f aca="false">L24+N24</f>
        <v>4128.12971883397</v>
      </c>
      <c r="P24" s="25" t="n">
        <f aca="false">L24*Допущения!$D$25</f>
        <v>870.650045644668</v>
      </c>
      <c r="Q24" s="25" t="n">
        <f aca="false">L24*(1-Допущения!$D$25)+N24</f>
        <v>3257.4796731893</v>
      </c>
      <c r="R24" s="17" t="n">
        <f aca="false">MAX(Допущения!$D$18,ROUNDUP(Q24/Допущения!$D$68+P24/Допущения!$D$69,0))</f>
        <v>43</v>
      </c>
      <c r="S24" s="17" t="n">
        <f aca="false">ROUNDUP(R24/Допущения!$D$48,0)</f>
        <v>4</v>
      </c>
      <c r="T24" s="17" t="n">
        <f aca="false">L24*F24/(1+Допущения!$D$6)</f>
        <v>9057796.61696208</v>
      </c>
      <c r="U24" s="17" t="n">
        <f aca="false">N24*Допущения!$D$28*E24/(1+Допущения!$D$6)</f>
        <v>1126660.68979378</v>
      </c>
      <c r="V24" s="17" t="n">
        <f aca="false">O24*Допущения!$D$26*Допущения!$D$27/(1+Допущения!$D$6)</f>
        <v>507556.932643521</v>
      </c>
      <c r="W24" s="17" t="n">
        <f aca="false">T24+U24+V24</f>
        <v>10692014.2393994</v>
      </c>
      <c r="X24" s="17" t="n">
        <f aca="false">J24*Допущения!$D$37</f>
        <v>20000</v>
      </c>
      <c r="Y24" s="17" t="n">
        <f aca="false">(R24*Допущения!$D$47+S24*Допущения!$D$49)*D24*Допущения!$D$9</f>
        <v>4851252</v>
      </c>
      <c r="Z24" s="17" t="n">
        <f aca="false">(MAX(0,R24-R23)+R24*Допущения!$D$50/12)*Допущения!$D$51*D24</f>
        <v>308070</v>
      </c>
      <c r="AA24" s="17" t="n">
        <f aca="false">O24*(Допущения!$D$53+Допущения!$D$54)+(L24*F24+N24*Допущения!$D$28*E24)*Допущения!$D$13</f>
        <v>1730418.02983076</v>
      </c>
      <c r="AB24" s="17" t="n">
        <f aca="false">(R24+S24)*Допущения!$D$52</f>
        <v>126900</v>
      </c>
      <c r="AC24" s="17" t="n">
        <f aca="false">SUMPRODUCT(Допущения!$B$84:$B$91,Допущения!$C$84:$C$91,--(Допущения!$D$84:$D$91&lt;=A24))*D24*Допущения!$D$9</f>
        <v>2123301.6</v>
      </c>
      <c r="AD24" s="17" t="n">
        <f aca="false">(AC24+Y24)*Допущения!$D$14</f>
        <v>697455.36</v>
      </c>
      <c r="AE24" s="17" t="n">
        <f aca="false">Допущения!$D$55+Допущения!$D$56*O24/1000+Допущения!$D$57</f>
        <v>173025.037750672</v>
      </c>
      <c r="AF24" s="17" t="n">
        <f aca="false">SUMIF(Допущения!$B$95:$B$103,A24,Допущения!$C$95:$C$103)</f>
        <v>0</v>
      </c>
      <c r="AG24" s="17" t="n">
        <v>0</v>
      </c>
      <c r="AH24" s="17" t="n">
        <f aca="false">G24+SUM(X24:AG24)</f>
        <v>11299289.6732607</v>
      </c>
      <c r="AI24" s="17" t="n">
        <f aca="false">W24-AH24</f>
        <v>-607275.43386136</v>
      </c>
      <c r="AJ24" s="17" t="n">
        <f aca="false">AJ23+AI24</f>
        <v>-31312166.7585268</v>
      </c>
      <c r="AK24" s="17" t="n">
        <f aca="false">O24*Допущения!$D$58*Допущения!$D$59</f>
        <v>136228.280721521</v>
      </c>
      <c r="AL24" s="17" t="n">
        <f aca="false">T24*Допущения!$D$72</f>
        <v>456695.627745987</v>
      </c>
      <c r="AM24" s="17" t="n">
        <f aca="false">IF(MOD(A24,12)=0,INDEX($F$70:$F$74,B24),0)</f>
        <v>0</v>
      </c>
      <c r="AN24" s="17" t="n">
        <f aca="false">AI24-AM24</f>
        <v>-607275.43386136</v>
      </c>
      <c r="AO24" s="26" t="n">
        <f aca="false">1/(1+Допущения!$D$74)^A24</f>
        <v>0.729900399628662</v>
      </c>
      <c r="AP24" s="21" t="str">
        <f aca="false">IF(AND(A24&gt;Допущения!$D$19,MIN(AI24:AI$65)&gt;0),A24,"")</f>
        <v/>
      </c>
      <c r="AQ24" s="21" t="str">
        <f aca="false">IF(MIN(AJ24:AJ$65)&gt;0,A24,"")</f>
        <v/>
      </c>
    </row>
    <row r="25" customFormat="false" ht="15" hidden="false" customHeight="false" outlineLevel="0" collapsed="false">
      <c r="A25" s="28" t="n">
        <v>20</v>
      </c>
      <c r="B25" s="28" t="n">
        <f aca="false">INT((A25-1)/12)+1</f>
        <v>2</v>
      </c>
      <c r="C25" s="12" t="s">
        <v>462</v>
      </c>
      <c r="D25" s="15" t="n">
        <f aca="false">(1+Допущения!$D$11)^(B25-1)</f>
        <v>1.08</v>
      </c>
      <c r="E25" s="15" t="n">
        <f aca="false">(1+Допущения!$D$12)^(B25-1)</f>
        <v>1.07</v>
      </c>
      <c r="F25" s="17" t="n">
        <f aca="false">Допущения!$D$71*E25</f>
        <v>3173.0636</v>
      </c>
      <c r="G25" s="17" t="n">
        <f aca="false">MIN(G24*(1+Допущения!$D$33),Допущения!$D$34)</f>
        <v>1370377.05733365</v>
      </c>
      <c r="H25" s="25" t="n">
        <f aca="false">MIN(Допущения!$D$30,G25/Допущения!$D$29)</f>
        <v>300</v>
      </c>
      <c r="I25" s="25" t="n">
        <f aca="false">MAX(0,G25-H25*Допущения!$D$29)/Допущения!$D$31</f>
        <v>153.396176222276</v>
      </c>
      <c r="J25" s="25" t="n">
        <f aca="false">IF(A25&gt;=Допущения!$D$35,Допущения!$D$36,0)</f>
        <v>40</v>
      </c>
      <c r="K25" s="25" t="n">
        <f aca="false">H25+I25+J25</f>
        <v>493.396176222276</v>
      </c>
      <c r="L25" s="25" t="n">
        <f aca="false">(L24-K24)*(1-Допущения!$D$44)+K24*(1-Допущения!$D$43)+K25</f>
        <v>3676.50953906638</v>
      </c>
      <c r="M25" s="25" t="n">
        <f aca="false">IF(A25&gt;=Допущения!$D$38,Допущения!$D$73/Допущения!$D$42*MIN(Допущения!$D$42,A25-Допущения!$D$38+1),0)</f>
        <v>60</v>
      </c>
      <c r="N25" s="25" t="n">
        <f aca="false">N24*(1-Допущения!$D$45)+M25</f>
        <v>692.618945530194</v>
      </c>
      <c r="O25" s="25" t="n">
        <f aca="false">L25+N25</f>
        <v>4369.12848459658</v>
      </c>
      <c r="P25" s="25" t="n">
        <f aca="false">L25*Допущения!$D$25</f>
        <v>919.127384766595</v>
      </c>
      <c r="Q25" s="25" t="n">
        <f aca="false">L25*(1-Допущения!$D$25)+N25</f>
        <v>3450.00109982998</v>
      </c>
      <c r="R25" s="17" t="n">
        <f aca="false">MAX(Допущения!$D$18,ROUNDUP(Q25/Допущения!$D$68+P25/Допущения!$D$69,0))</f>
        <v>45</v>
      </c>
      <c r="S25" s="17" t="n">
        <f aca="false">ROUNDUP(R25/Допущения!$D$48,0)</f>
        <v>4</v>
      </c>
      <c r="T25" s="17" t="n">
        <f aca="false">L25*F25/(1+Допущения!$D$6)</f>
        <v>9562129.99464288</v>
      </c>
      <c r="U25" s="17" t="n">
        <f aca="false">N25*Допущения!$D$28*E25/(1+Допущения!$D$6)</f>
        <v>1208847.14812905</v>
      </c>
      <c r="V25" s="17" t="n">
        <f aca="false">O25*Допущения!$D$26*Допущения!$D$27/(1+Допущения!$D$6)</f>
        <v>537187.928434005</v>
      </c>
      <c r="W25" s="17" t="n">
        <f aca="false">T25+U25+V25</f>
        <v>11308165.0712059</v>
      </c>
      <c r="X25" s="17" t="n">
        <f aca="false">J25*Допущения!$D$37</f>
        <v>20000</v>
      </c>
      <c r="Y25" s="17" t="n">
        <f aca="false">(R25*Допущения!$D$47+S25*Допущения!$D$49)*D25*Допущения!$D$9</f>
        <v>5048114.4</v>
      </c>
      <c r="Z25" s="17" t="n">
        <f aca="false">(MAX(0,R25-R24)+R25*Допущения!$D$50/12)*Допущения!$D$51*D25</f>
        <v>236250</v>
      </c>
      <c r="AA25" s="17" t="n">
        <f aca="false">O25*(Допущения!$D$53+Допущения!$D$54)+(L25*F25+N25*Допущения!$D$28*E25)*Допущения!$D$13</f>
        <v>1831262.55493302</v>
      </c>
      <c r="AB25" s="17" t="n">
        <f aca="false">(R25+S25)*Допущения!$D$52</f>
        <v>132300</v>
      </c>
      <c r="AC25" s="17" t="n">
        <f aca="false">SUMPRODUCT(Допущения!$B$84:$B$91,Допущения!$C$84:$C$91,--(Допущения!$D$84:$D$91&lt;=A25))*D25*Допущения!$D$9</f>
        <v>2123301.6</v>
      </c>
      <c r="AD25" s="17" t="n">
        <f aca="false">(AC25+Y25)*Допущения!$D$14</f>
        <v>717141.6</v>
      </c>
      <c r="AE25" s="17" t="n">
        <f aca="false">Допущения!$D$55+Допущения!$D$56*O25/1000+Допущения!$D$57</f>
        <v>174953.027876773</v>
      </c>
      <c r="AF25" s="17" t="n">
        <f aca="false">SUMIF(Допущения!$B$95:$B$103,A25,Допущения!$C$95:$C$103)</f>
        <v>0</v>
      </c>
      <c r="AG25" s="17" t="n">
        <v>0</v>
      </c>
      <c r="AH25" s="17" t="n">
        <f aca="false">G25+SUM(X25:AG25)</f>
        <v>11653700.2401434</v>
      </c>
      <c r="AI25" s="17" t="n">
        <f aca="false">W25-AH25</f>
        <v>-345535.16893751</v>
      </c>
      <c r="AJ25" s="17" t="n">
        <f aca="false">AJ24+AI25</f>
        <v>-31657701.9274643</v>
      </c>
      <c r="AK25" s="17" t="n">
        <f aca="false">O25*Допущения!$D$58*Допущения!$D$59</f>
        <v>144181.239991687</v>
      </c>
      <c r="AL25" s="17" t="n">
        <f aca="false">T25*Допущения!$D$72</f>
        <v>482124.201410565</v>
      </c>
      <c r="AM25" s="17" t="n">
        <f aca="false">IF(MOD(A25,12)=0,INDEX($F$70:$F$74,B25),0)</f>
        <v>0</v>
      </c>
      <c r="AN25" s="17" t="n">
        <f aca="false">AI25-AM25</f>
        <v>-345535.16893751</v>
      </c>
      <c r="AO25" s="26" t="n">
        <f aca="false">1/(1+Допущения!$D$74)^A25</f>
        <v>0.717904951725933</v>
      </c>
      <c r="AP25" s="21" t="str">
        <f aca="false">IF(AND(A25&gt;Допущения!$D$19,MIN(AI25:AI$65)&gt;0),A25,"")</f>
        <v/>
      </c>
      <c r="AQ25" s="21" t="str">
        <f aca="false">IF(MIN(AJ25:AJ$65)&gt;0,A25,"")</f>
        <v/>
      </c>
    </row>
    <row r="26" customFormat="false" ht="15" hidden="false" customHeight="false" outlineLevel="0" collapsed="false">
      <c r="A26" s="28" t="n">
        <v>21</v>
      </c>
      <c r="B26" s="28" t="n">
        <f aca="false">INT((A26-1)/12)+1</f>
        <v>2</v>
      </c>
      <c r="C26" s="12" t="s">
        <v>462</v>
      </c>
      <c r="D26" s="15" t="n">
        <f aca="false">(1+Допущения!$D$11)^(B26-1)</f>
        <v>1.08</v>
      </c>
      <c r="E26" s="15" t="n">
        <f aca="false">(1+Допущения!$D$12)^(B26-1)</f>
        <v>1.07</v>
      </c>
      <c r="F26" s="17" t="n">
        <f aca="false">Допущения!$D$71*E26</f>
        <v>3173.0636</v>
      </c>
      <c r="G26" s="17" t="n">
        <f aca="false">MIN(G25*(1+Допущения!$D$33),Допущения!$D$34)</f>
        <v>1480007.22192035</v>
      </c>
      <c r="H26" s="25" t="n">
        <f aca="false">MIN(Допущения!$D$30,G26/Допущения!$D$29)</f>
        <v>300</v>
      </c>
      <c r="I26" s="25" t="n">
        <f aca="false">MAX(0,G26-H26*Допущения!$D$29)/Допущения!$D$31</f>
        <v>171.667870320058</v>
      </c>
      <c r="J26" s="25" t="n">
        <f aca="false">IF(A26&gt;=Допущения!$D$35,Допущения!$D$36,0)</f>
        <v>40</v>
      </c>
      <c r="K26" s="25" t="n">
        <f aca="false">H26+I26+J26</f>
        <v>511.667870320058</v>
      </c>
      <c r="L26" s="25" t="n">
        <f aca="false">(L25-K25)*(1-Допущения!$D$44)+K25*(1-Допущения!$D$43)+K26</f>
        <v>3873.84156356022</v>
      </c>
      <c r="M26" s="25" t="n">
        <f aca="false">IF(A26&gt;=Допущения!$D$38,Допущения!$D$73/Допущения!$D$42*MIN(Допущения!$D$42,A26-Допущения!$D$38+1),0)</f>
        <v>60</v>
      </c>
      <c r="N26" s="25" t="n">
        <f aca="false">N25*(1-Допущения!$D$45)+M26</f>
        <v>738.76656661959</v>
      </c>
      <c r="O26" s="25" t="n">
        <f aca="false">L26+N26</f>
        <v>4612.60813017981</v>
      </c>
      <c r="P26" s="25" t="n">
        <f aca="false">L26*Допущения!$D$25</f>
        <v>968.460390890056</v>
      </c>
      <c r="Q26" s="25" t="n">
        <f aca="false">L26*(1-Допущения!$D$25)+N26</f>
        <v>3644.14773928976</v>
      </c>
      <c r="R26" s="17" t="n">
        <f aca="false">MAX(Допущения!$D$18,ROUNDUP(Q26/Допущения!$D$68+P26/Допущения!$D$69,0))</f>
        <v>48</v>
      </c>
      <c r="S26" s="17" t="n">
        <f aca="false">ROUNDUP(R26/Допущения!$D$48,0)</f>
        <v>4</v>
      </c>
      <c r="T26" s="17" t="n">
        <f aca="false">L26*F26/(1+Допущения!$D$6)</f>
        <v>10075365.2930328</v>
      </c>
      <c r="U26" s="17" t="n">
        <f aca="false">N26*Допущения!$D$28*E26/(1+Допущения!$D$6)</f>
        <v>1289389.87729762</v>
      </c>
      <c r="V26" s="17" t="n">
        <f aca="false">O26*Допущения!$D$26*Допущения!$D$27/(1+Допущения!$D$6)</f>
        <v>567123.950431944</v>
      </c>
      <c r="W26" s="17" t="n">
        <f aca="false">T26+U26+V26</f>
        <v>11931879.1207624</v>
      </c>
      <c r="X26" s="17" t="n">
        <f aca="false">J26*Допущения!$D$37</f>
        <v>20000</v>
      </c>
      <c r="Y26" s="17" t="n">
        <f aca="false">(R26*Допущения!$D$47+S26*Допущения!$D$49)*D26*Допущения!$D$9</f>
        <v>5343408</v>
      </c>
      <c r="Z26" s="17" t="n">
        <f aca="false">(MAX(0,R26-R25)+R26*Допущения!$D$50/12)*Допущения!$D$51*D26</f>
        <v>317520</v>
      </c>
      <c r="AA26" s="17" t="n">
        <f aca="false">O26*(Допущения!$D$53+Допущения!$D$54)+(L26*F26+N26*Допущения!$D$28*E26)*Допущения!$D$13</f>
        <v>1933171.99105609</v>
      </c>
      <c r="AB26" s="17" t="n">
        <f aca="false">(R26+S26)*Допущения!$D$52</f>
        <v>140400</v>
      </c>
      <c r="AC26" s="17" t="n">
        <f aca="false">SUMPRODUCT(Допущения!$B$84:$B$91,Допущения!$C$84:$C$91,--(Допущения!$D$84:$D$91&lt;=A26))*D26*Допущения!$D$9</f>
        <v>2123301.6</v>
      </c>
      <c r="AD26" s="17" t="n">
        <f aca="false">(AC26+Y26)*Допущения!$D$14</f>
        <v>746670.96</v>
      </c>
      <c r="AE26" s="17" t="n">
        <f aca="false">Допущения!$D$55+Допущения!$D$56*O26/1000+Допущения!$D$57</f>
        <v>176900.865041439</v>
      </c>
      <c r="AF26" s="17" t="n">
        <f aca="false">SUMIF(Допущения!$B$95:$B$103,A26,Допущения!$C$95:$C$103)</f>
        <v>0</v>
      </c>
      <c r="AG26" s="17" t="n">
        <v>0</v>
      </c>
      <c r="AH26" s="17" t="n">
        <f aca="false">G26+SUM(X26:AG26)</f>
        <v>12281380.6380179</v>
      </c>
      <c r="AI26" s="17" t="n">
        <f aca="false">W26-AH26</f>
        <v>-349501.517255496</v>
      </c>
      <c r="AJ26" s="17" t="n">
        <f aca="false">AJ25+AI26</f>
        <v>-32007203.4447198</v>
      </c>
      <c r="AK26" s="17" t="n">
        <f aca="false">O26*Допущения!$D$58*Допущения!$D$59</f>
        <v>152216.068295934</v>
      </c>
      <c r="AL26" s="17" t="n">
        <f aca="false">T26*Допущения!$D$72</f>
        <v>508001.611413419</v>
      </c>
      <c r="AM26" s="17" t="n">
        <f aca="false">IF(MOD(A26,12)=0,INDEX($F$70:$F$74,B26),0)</f>
        <v>0</v>
      </c>
      <c r="AN26" s="17" t="n">
        <f aca="false">AI26-AM26</f>
        <v>-349501.517255496</v>
      </c>
      <c r="AO26" s="26" t="n">
        <f aca="false">1/(1+Допущения!$D$74)^A26</f>
        <v>0.706106641364793</v>
      </c>
      <c r="AP26" s="21" t="str">
        <f aca="false">IF(AND(A26&gt;Допущения!$D$19,MIN(AI26:AI$65)&gt;0),A26,"")</f>
        <v/>
      </c>
      <c r="AQ26" s="21" t="str">
        <f aca="false">IF(MIN(AJ26:AJ$65)&gt;0,A26,"")</f>
        <v/>
      </c>
    </row>
    <row r="27" customFormat="false" ht="15" hidden="false" customHeight="false" outlineLevel="0" collapsed="false">
      <c r="A27" s="28" t="n">
        <v>22</v>
      </c>
      <c r="B27" s="28" t="n">
        <f aca="false">INT((A27-1)/12)+1</f>
        <v>2</v>
      </c>
      <c r="C27" s="12" t="s">
        <v>462</v>
      </c>
      <c r="D27" s="15" t="n">
        <f aca="false">(1+Допущения!$D$11)^(B27-1)</f>
        <v>1.08</v>
      </c>
      <c r="E27" s="15" t="n">
        <f aca="false">(1+Допущения!$D$12)^(B27-1)</f>
        <v>1.07</v>
      </c>
      <c r="F27" s="17" t="n">
        <f aca="false">Допущения!$D$71*E27</f>
        <v>3173.0636</v>
      </c>
      <c r="G27" s="17" t="n">
        <f aca="false">MIN(G26*(1+Допущения!$D$33),Допущения!$D$34)</f>
        <v>1598407.79967397</v>
      </c>
      <c r="H27" s="25" t="n">
        <f aca="false">MIN(Допущения!$D$30,G27/Допущения!$D$29)</f>
        <v>300</v>
      </c>
      <c r="I27" s="25" t="n">
        <f aca="false">MAX(0,G27-H27*Допущения!$D$29)/Допущения!$D$31</f>
        <v>191.401299945662</v>
      </c>
      <c r="J27" s="25" t="n">
        <f aca="false">IF(A27&gt;=Допущения!$D$35,Допущения!$D$36,0)</f>
        <v>40</v>
      </c>
      <c r="K27" s="25" t="n">
        <f aca="false">H27+I27+J27</f>
        <v>531.401299945662</v>
      </c>
      <c r="L27" s="25" t="n">
        <f aca="false">(L26-K26)*(1-Допущения!$D$44)+K26*(1-Допущения!$D$43)+K27</f>
        <v>4075.59547433146</v>
      </c>
      <c r="M27" s="25" t="n">
        <f aca="false">IF(A27&gt;=Допущения!$D$38,Допущения!$D$73/Допущения!$D$42*MIN(Допущения!$D$42,A27-Допущения!$D$38+1),0)</f>
        <v>60</v>
      </c>
      <c r="N27" s="25" t="n">
        <f aca="false">N26*(1-Допущения!$D$45)+M27</f>
        <v>783.991235287198</v>
      </c>
      <c r="O27" s="25" t="n">
        <f aca="false">L27+N27</f>
        <v>4859.58670961866</v>
      </c>
      <c r="P27" s="25" t="n">
        <f aca="false">L27*Допущения!$D$25</f>
        <v>1018.89886858287</v>
      </c>
      <c r="Q27" s="25" t="n">
        <f aca="false">L27*(1-Допущения!$D$25)+N27</f>
        <v>3840.68784103579</v>
      </c>
      <c r="R27" s="17" t="n">
        <f aca="false">MAX(Допущения!$D$18,ROUNDUP(Q27/Допущения!$D$68+P27/Допущения!$D$69,0))</f>
        <v>50</v>
      </c>
      <c r="S27" s="17" t="n">
        <f aca="false">ROUNDUP(R27/Допущения!$D$48,0)</f>
        <v>5</v>
      </c>
      <c r="T27" s="17" t="n">
        <f aca="false">L27*F27/(1+Допущения!$D$6)</f>
        <v>10600101.3507589</v>
      </c>
      <c r="U27" s="17" t="n">
        <f aca="false">N27*Допущения!$D$28*E27/(1+Допущения!$D$6)</f>
        <v>1368321.75188281</v>
      </c>
      <c r="V27" s="17" t="n">
        <f aca="false">O27*Допущения!$D$26*Допущения!$D$27/(1+Допущения!$D$6)</f>
        <v>597490.169215409</v>
      </c>
      <c r="W27" s="17" t="n">
        <f aca="false">T27+U27+V27</f>
        <v>12565913.2718572</v>
      </c>
      <c r="X27" s="17" t="n">
        <f aca="false">J27*Допущения!$D$37</f>
        <v>20000</v>
      </c>
      <c r="Y27" s="17" t="n">
        <f aca="false">(R27*Допущения!$D$47+S27*Допущения!$D$49)*D27*Допущения!$D$9</f>
        <v>5694948</v>
      </c>
      <c r="Z27" s="17" t="n">
        <f aca="false">(MAX(0,R27-R26)+R27*Допущения!$D$50/12)*Допущения!$D$51*D27</f>
        <v>245700</v>
      </c>
      <c r="AA27" s="17" t="n">
        <f aca="false">O27*(Допущения!$D$53+Допущения!$D$54)+(L27*F27+N27*Допущения!$D$28*E27)*Допущения!$D$13</f>
        <v>2036575.72034482</v>
      </c>
      <c r="AB27" s="17" t="n">
        <f aca="false">(R27+S27)*Допущения!$D$52</f>
        <v>148500</v>
      </c>
      <c r="AC27" s="17" t="n">
        <f aca="false">SUMPRODUCT(Допущения!$B$84:$B$91,Допущения!$C$84:$C$91,--(Допущения!$D$84:$D$91&lt;=A27))*D27*Допущения!$D$9</f>
        <v>2123301.6</v>
      </c>
      <c r="AD27" s="17" t="n">
        <f aca="false">(AC27+Y27)*Допущения!$D$14</f>
        <v>781824.96</v>
      </c>
      <c r="AE27" s="17" t="n">
        <f aca="false">Допущения!$D$55+Допущения!$D$56*O27/1000+Допущения!$D$57</f>
        <v>178876.693676949</v>
      </c>
      <c r="AF27" s="17" t="n">
        <f aca="false">SUMIF(Допущения!$B$95:$B$103,A27,Допущения!$C$95:$C$103)</f>
        <v>0</v>
      </c>
      <c r="AG27" s="17" t="n">
        <v>0</v>
      </c>
      <c r="AH27" s="17" t="n">
        <f aca="false">G27+SUM(X27:AG27)</f>
        <v>12828134.7736957</v>
      </c>
      <c r="AI27" s="17" t="n">
        <f aca="false">W27-AH27</f>
        <v>-262221.501838593</v>
      </c>
      <c r="AJ27" s="17" t="n">
        <f aca="false">AJ26+AI27</f>
        <v>-32269424.9465584</v>
      </c>
      <c r="AK27" s="17" t="n">
        <f aca="false">O27*Допущения!$D$58*Допущения!$D$59</f>
        <v>160366.361417416</v>
      </c>
      <c r="AL27" s="17" t="n">
        <f aca="false">T27*Допущения!$D$72</f>
        <v>534458.891634904</v>
      </c>
      <c r="AM27" s="17" t="n">
        <f aca="false">IF(MOD(A27,12)=0,INDEX($F$70:$F$74,B27),0)</f>
        <v>0</v>
      </c>
      <c r="AN27" s="17" t="n">
        <f aca="false">AI27-AM27</f>
        <v>-262221.501838593</v>
      </c>
      <c r="AO27" s="26" t="n">
        <f aca="false">1/(1+Допущения!$D$74)^A27</f>
        <v>0.694502228715381</v>
      </c>
      <c r="AP27" s="21" t="str">
        <f aca="false">IF(AND(A27&gt;Допущения!$D$19,MIN(AI27:AI$65)&gt;0),A27,"")</f>
        <v/>
      </c>
      <c r="AQ27" s="21" t="str">
        <f aca="false">IF(MIN(AJ27:AJ$65)&gt;0,A27,"")</f>
        <v/>
      </c>
    </row>
    <row r="28" customFormat="false" ht="15" hidden="false" customHeight="false" outlineLevel="0" collapsed="false">
      <c r="A28" s="28" t="n">
        <v>23</v>
      </c>
      <c r="B28" s="28" t="n">
        <f aca="false">INT((A28-1)/12)+1</f>
        <v>2</v>
      </c>
      <c r="C28" s="12" t="s">
        <v>462</v>
      </c>
      <c r="D28" s="15" t="n">
        <f aca="false">(1+Допущения!$D$11)^(B28-1)</f>
        <v>1.08</v>
      </c>
      <c r="E28" s="15" t="n">
        <f aca="false">(1+Допущения!$D$12)^(B28-1)</f>
        <v>1.07</v>
      </c>
      <c r="F28" s="17" t="n">
        <f aca="false">Допущения!$D$71*E28</f>
        <v>3173.0636</v>
      </c>
      <c r="G28" s="17" t="n">
        <f aca="false">MIN(G27*(1+Допущения!$D$33),Допущения!$D$34)</f>
        <v>1726280.42364789</v>
      </c>
      <c r="H28" s="25" t="n">
        <f aca="false">MIN(Допущения!$D$30,G28/Допущения!$D$29)</f>
        <v>300</v>
      </c>
      <c r="I28" s="25" t="n">
        <f aca="false">MAX(0,G28-H28*Допущения!$D$29)/Допущения!$D$31</f>
        <v>212.713403941315</v>
      </c>
      <c r="J28" s="25" t="n">
        <f aca="false">IF(A28&gt;=Допущения!$D$35,Допущения!$D$36,0)</f>
        <v>40</v>
      </c>
      <c r="K28" s="25" t="n">
        <f aca="false">H28+I28+J28</f>
        <v>552.713403941315</v>
      </c>
      <c r="L28" s="25" t="n">
        <f aca="false">(L27-K27)*(1-Допущения!$D$44)+K27*(1-Допущения!$D$43)+K28</f>
        <v>4282.80690282321</v>
      </c>
      <c r="M28" s="25" t="n">
        <f aca="false">IF(A28&gt;=Допущения!$D$38,Допущения!$D$73/Допущения!$D$42*MIN(Допущения!$D$42,A28-Допущения!$D$38+1),0)</f>
        <v>60</v>
      </c>
      <c r="N28" s="25" t="n">
        <f aca="false">N27*(1-Допущения!$D$45)+M28</f>
        <v>828.311410581454</v>
      </c>
      <c r="O28" s="25" t="n">
        <f aca="false">L28+N28</f>
        <v>5111.11831340467</v>
      </c>
      <c r="P28" s="25" t="n">
        <f aca="false">L28*Допущения!$D$25</f>
        <v>1070.7017257058</v>
      </c>
      <c r="Q28" s="25" t="n">
        <f aca="false">L28*(1-Допущения!$D$25)+N28</f>
        <v>4040.41658769886</v>
      </c>
      <c r="R28" s="17" t="n">
        <f aca="false">MAX(Допущения!$D$18,ROUNDUP(Q28/Допущения!$D$68+P28/Допущения!$D$69,0))</f>
        <v>53</v>
      </c>
      <c r="S28" s="17" t="n">
        <f aca="false">ROUNDUP(R28/Допущения!$D$48,0)</f>
        <v>5</v>
      </c>
      <c r="T28" s="17" t="n">
        <f aca="false">L28*F28/(1+Допущения!$D$6)</f>
        <v>11139031.7124402</v>
      </c>
      <c r="U28" s="17" t="n">
        <f aca="false">N28*Допущения!$D$28*E28/(1+Допущения!$D$6)</f>
        <v>1445674.9889763</v>
      </c>
      <c r="V28" s="17" t="n">
        <f aca="false">O28*Допущения!$D$26*Допущения!$D$27/(1+Допущения!$D$6)</f>
        <v>628416.186074344</v>
      </c>
      <c r="W28" s="17" t="n">
        <f aca="false">T28+U28+V28</f>
        <v>13213122.8874909</v>
      </c>
      <c r="X28" s="17" t="n">
        <f aca="false">J28*Допущения!$D$37</f>
        <v>20000</v>
      </c>
      <c r="Y28" s="17" t="n">
        <f aca="false">(R28*Допущения!$D$47+S28*Допущения!$D$49)*D28*Допущения!$D$9</f>
        <v>5990241.6</v>
      </c>
      <c r="Z28" s="17" t="n">
        <f aca="false">(MAX(0,R28-R27)+R28*Допущения!$D$50/12)*Допущения!$D$51*D28</f>
        <v>326970</v>
      </c>
      <c r="AA28" s="17" t="n">
        <f aca="false">O28*(Допущения!$D$53+Допущения!$D$54)+(L28*F28+N28*Допущения!$D$28*E28)*Допущения!$D$13</f>
        <v>2141918.34355581</v>
      </c>
      <c r="AB28" s="17" t="n">
        <f aca="false">(R28+S28)*Допущения!$D$52</f>
        <v>156600</v>
      </c>
      <c r="AC28" s="17" t="n">
        <f aca="false">SUMPRODUCT(Допущения!$B$84:$B$91,Допущения!$C$84:$C$91,--(Допущения!$D$84:$D$91&lt;=A28))*D28*Допущения!$D$9</f>
        <v>2123301.6</v>
      </c>
      <c r="AD28" s="17" t="n">
        <f aca="false">(AC28+Y28)*Допущения!$D$14</f>
        <v>811354.32</v>
      </c>
      <c r="AE28" s="17" t="n">
        <f aca="false">Допущения!$D$55+Допущения!$D$56*O28/1000+Допущения!$D$57</f>
        <v>180888.946507237</v>
      </c>
      <c r="AF28" s="17" t="n">
        <f aca="false">SUMIF(Допущения!$B$95:$B$103,A28,Допущения!$C$95:$C$103)</f>
        <v>0</v>
      </c>
      <c r="AG28" s="17" t="n">
        <v>0</v>
      </c>
      <c r="AH28" s="17" t="n">
        <f aca="false">G28+SUM(X28:AG28)</f>
        <v>13477555.2337109</v>
      </c>
      <c r="AI28" s="17" t="n">
        <f aca="false">W28-AH28</f>
        <v>-264432.346220067</v>
      </c>
      <c r="AJ28" s="17" t="n">
        <f aca="false">AJ27+AI28</f>
        <v>-32533857.2927784</v>
      </c>
      <c r="AK28" s="17" t="n">
        <f aca="false">O28*Допущения!$D$58*Допущения!$D$59</f>
        <v>168666.904342354</v>
      </c>
      <c r="AL28" s="17" t="n">
        <f aca="false">T28*Допущения!$D$72</f>
        <v>561631.851047406</v>
      </c>
      <c r="AM28" s="17" t="n">
        <f aca="false">IF(MOD(A28,12)=0,INDEX($F$70:$F$74,B28),0)</f>
        <v>0</v>
      </c>
      <c r="AN28" s="17" t="n">
        <f aca="false">AI28-AM28</f>
        <v>-264432.346220067</v>
      </c>
      <c r="AO28" s="26" t="n">
        <f aca="false">1/(1+Допущения!$D$74)^A28</f>
        <v>0.683088527192375</v>
      </c>
      <c r="AP28" s="21" t="str">
        <f aca="false">IF(AND(A28&gt;Допущения!$D$19,MIN(AI28:AI$65)&gt;0),A28,"")</f>
        <v/>
      </c>
      <c r="AQ28" s="21" t="str">
        <f aca="false">IF(MIN(AJ28:AJ$65)&gt;0,A28,"")</f>
        <v/>
      </c>
    </row>
    <row r="29" customFormat="false" ht="15" hidden="false" customHeight="false" outlineLevel="0" collapsed="false">
      <c r="A29" s="28" t="n">
        <v>24</v>
      </c>
      <c r="B29" s="28" t="n">
        <f aca="false">INT((A29-1)/12)+1</f>
        <v>2</v>
      </c>
      <c r="C29" s="12" t="s">
        <v>462</v>
      </c>
      <c r="D29" s="15" t="n">
        <f aca="false">(1+Допущения!$D$11)^(B29-1)</f>
        <v>1.08</v>
      </c>
      <c r="E29" s="15" t="n">
        <f aca="false">(1+Допущения!$D$12)^(B29-1)</f>
        <v>1.07</v>
      </c>
      <c r="F29" s="17" t="n">
        <f aca="false">Допущения!$D$71*E29</f>
        <v>3173.0636</v>
      </c>
      <c r="G29" s="17" t="n">
        <f aca="false">MIN(G28*(1+Допущения!$D$33),Допущения!$D$34)</f>
        <v>1864382.85753972</v>
      </c>
      <c r="H29" s="25" t="n">
        <f aca="false">MIN(Допущения!$D$30,G29/Допущения!$D$29)</f>
        <v>300</v>
      </c>
      <c r="I29" s="25" t="n">
        <f aca="false">MAX(0,G29-H29*Допущения!$D$29)/Допущения!$D$31</f>
        <v>235.73047625662</v>
      </c>
      <c r="J29" s="25" t="n">
        <f aca="false">IF(A29&gt;=Допущения!$D$35,Допущения!$D$36,0)</f>
        <v>40</v>
      </c>
      <c r="K29" s="25" t="n">
        <f aca="false">H29+I29+J29</f>
        <v>575.730476256621</v>
      </c>
      <c r="L29" s="25" t="n">
        <f aca="false">(L28-K28)*(1-Допущения!$D$44)+K28*(1-Допущения!$D$43)+K29</f>
        <v>4496.55341816159</v>
      </c>
      <c r="M29" s="25" t="n">
        <f aca="false">IF(A29&gt;=Допущения!$D$38,Допущения!$D$73/Допущения!$D$42*MIN(Допущения!$D$42,A29-Допущения!$D$38+1),0)</f>
        <v>60</v>
      </c>
      <c r="N29" s="25" t="n">
        <f aca="false">N28*(1-Допущения!$D$45)+M29</f>
        <v>871.745182369825</v>
      </c>
      <c r="O29" s="25" t="n">
        <f aca="false">L29+N29</f>
        <v>5368.29860053141</v>
      </c>
      <c r="P29" s="25" t="n">
        <f aca="false">L29*Допущения!$D$25</f>
        <v>1124.1383545404</v>
      </c>
      <c r="Q29" s="25" t="n">
        <f aca="false">L29*(1-Допущения!$D$25)+N29</f>
        <v>4244.16024599102</v>
      </c>
      <c r="R29" s="17" t="n">
        <f aca="false">MAX(Допущения!$D$18,ROUNDUP(Q29/Допущения!$D$68+P29/Допущения!$D$69,0))</f>
        <v>55</v>
      </c>
      <c r="S29" s="17" t="n">
        <f aca="false">ROUNDUP(R29/Допущения!$D$48,0)</f>
        <v>5</v>
      </c>
      <c r="T29" s="17" t="n">
        <f aca="false">L29*F29/(1+Допущения!$D$6)</f>
        <v>11694958.9972329</v>
      </c>
      <c r="U29" s="17" t="n">
        <f aca="false">N29*Допущения!$D$28*E29/(1+Допущения!$D$6)</f>
        <v>1521481.16132793</v>
      </c>
      <c r="V29" s="17" t="n">
        <f aca="false">O29*Допущения!$D$26*Допущения!$D$27/(1+Допущения!$D$6)</f>
        <v>660036.713180092</v>
      </c>
      <c r="W29" s="17" t="n">
        <f aca="false">T29+U29+V29</f>
        <v>13876476.8717409</v>
      </c>
      <c r="X29" s="17" t="n">
        <f aca="false">J29*Допущения!$D$37</f>
        <v>20000</v>
      </c>
      <c r="Y29" s="17" t="n">
        <f aca="false">(R29*Допущения!$D$47+S29*Допущения!$D$49)*D29*Допущения!$D$9</f>
        <v>6187104</v>
      </c>
      <c r="Z29" s="17" t="n">
        <f aca="false">(MAX(0,R29-R28)+R29*Допущения!$D$50/12)*Допущения!$D$51*D29</f>
        <v>255150</v>
      </c>
      <c r="AA29" s="17" t="n">
        <f aca="false">O29*(Допущения!$D$53+Допущения!$D$54)+(L29*F29+N29*Допущения!$D$28*E29)*Допущения!$D$13</f>
        <v>2249662.01507596</v>
      </c>
      <c r="AB29" s="17" t="n">
        <f aca="false">(R29+S29)*Допущения!$D$52</f>
        <v>162000</v>
      </c>
      <c r="AC29" s="17" t="n">
        <f aca="false">SUMPRODUCT(Допущения!$B$84:$B$91,Допущения!$C$84:$C$91,--(Допущения!$D$84:$D$91&lt;=A29))*D29*Допущения!$D$9</f>
        <v>2123301.6</v>
      </c>
      <c r="AD29" s="17" t="n">
        <f aca="false">(AC29+Y29)*Допущения!$D$14</f>
        <v>831040.56</v>
      </c>
      <c r="AE29" s="17" t="n">
        <f aca="false">Допущения!$D$55+Допущения!$D$56*O29/1000+Допущения!$D$57</f>
        <v>182946.388804251</v>
      </c>
      <c r="AF29" s="17" t="n">
        <f aca="false">SUMIF(Допущения!$B$95:$B$103,A29,Допущения!$C$95:$C$103)</f>
        <v>0</v>
      </c>
      <c r="AG29" s="17" t="n">
        <v>0</v>
      </c>
      <c r="AH29" s="17" t="n">
        <f aca="false">G29+SUM(X29:AG29)</f>
        <v>13875587.4214199</v>
      </c>
      <c r="AI29" s="17" t="n">
        <f aca="false">W29-AH29</f>
        <v>889.450320966542</v>
      </c>
      <c r="AJ29" s="17" t="n">
        <f aca="false">AJ28+AI29</f>
        <v>-32532967.8424575</v>
      </c>
      <c r="AK29" s="17" t="n">
        <f aca="false">O29*Допущения!$D$58*Допущения!$D$59</f>
        <v>177153.853817537</v>
      </c>
      <c r="AL29" s="17" t="n">
        <f aca="false">T29*Допущения!$D$72</f>
        <v>589661.798179809</v>
      </c>
      <c r="AM29" s="17" t="n">
        <f aca="false">IF(MOD(A29,12)=0,INDEX($F$70:$F$74,B29),0)</f>
        <v>0</v>
      </c>
      <c r="AN29" s="17" t="n">
        <f aca="false">AI29-AM29</f>
        <v>889.450320966542</v>
      </c>
      <c r="AO29" s="26" t="n">
        <f aca="false">1/(1+Допущения!$D$74)^A29</f>
        <v>0.671862402579953</v>
      </c>
      <c r="AP29" s="21" t="n">
        <f aca="false">IF(AND(A29&gt;Допущения!$D$19,MIN(AI29:AI$65)&gt;0),A29,"")</f>
        <v>24</v>
      </c>
      <c r="AQ29" s="21" t="str">
        <f aca="false">IF(MIN(AJ29:AJ$65)&gt;0,A29,"")</f>
        <v/>
      </c>
    </row>
    <row r="30" customFormat="false" ht="15" hidden="false" customHeight="false" outlineLevel="0" collapsed="false">
      <c r="A30" s="28" t="n">
        <v>25</v>
      </c>
      <c r="B30" s="28" t="n">
        <f aca="false">INT((A30-1)/12)+1</f>
        <v>3</v>
      </c>
      <c r="C30" s="12" t="s">
        <v>462</v>
      </c>
      <c r="D30" s="15" t="n">
        <f aca="false">(1+Допущения!$D$11)^(B30-1)</f>
        <v>1.1664</v>
      </c>
      <c r="E30" s="15" t="n">
        <f aca="false">(1+Допущения!$D$12)^(B30-1)</f>
        <v>1.1449</v>
      </c>
      <c r="F30" s="17" t="n">
        <f aca="false">Допущения!$D$71*E30</f>
        <v>3395.178052</v>
      </c>
      <c r="G30" s="17" t="n">
        <f aca="false">MIN(G29*(1+Допущения!$D$33),Допущения!$D$34)</f>
        <v>2013533.4861429</v>
      </c>
      <c r="H30" s="25" t="n">
        <f aca="false">MIN(Допущения!$D$30,G30/Допущения!$D$29)</f>
        <v>300</v>
      </c>
      <c r="I30" s="25" t="n">
        <f aca="false">MAX(0,G30-H30*Допущения!$D$29)/Допущения!$D$31</f>
        <v>260.58891435715</v>
      </c>
      <c r="J30" s="25" t="n">
        <f aca="false">IF(A30&gt;=Допущения!$D$35,Допущения!$D$36,0)</f>
        <v>40</v>
      </c>
      <c r="K30" s="25" t="n">
        <f aca="false">H30+I30+J30</f>
        <v>600.58891435715</v>
      </c>
      <c r="L30" s="25" t="n">
        <f aca="false">(L29-K29)*(1-Допущения!$D$44)+K29*(1-Допущения!$D$43)+K30</f>
        <v>4717.96033694029</v>
      </c>
      <c r="M30" s="25" t="n">
        <f aca="false">IF(A30&gt;=Допущения!$D$38,Допущения!$D$73/Допущения!$D$42*MIN(Допущения!$D$42,A30-Допущения!$D$38+1),0)</f>
        <v>60</v>
      </c>
      <c r="N30" s="25" t="n">
        <f aca="false">N29*(1-Допущения!$D$45)+M30</f>
        <v>914.310278722429</v>
      </c>
      <c r="O30" s="25" t="n">
        <f aca="false">L30+N30</f>
        <v>5632.27061566272</v>
      </c>
      <c r="P30" s="25" t="n">
        <f aca="false">L30*Допущения!$D$25</f>
        <v>1179.49008423507</v>
      </c>
      <c r="Q30" s="25" t="n">
        <f aca="false">L30*(1-Допущения!$D$25)+N30</f>
        <v>4452.78053142764</v>
      </c>
      <c r="R30" s="17" t="n">
        <f aca="false">MAX(Допущения!$D$18,ROUNDUP(Q30/Допущения!$D$68+P30/Допущения!$D$69,0))</f>
        <v>58</v>
      </c>
      <c r="S30" s="17" t="n">
        <f aca="false">ROUNDUP(R30/Допущения!$D$48,0)</f>
        <v>5</v>
      </c>
      <c r="T30" s="17" t="n">
        <f aca="false">L30*F30/(1+Допущения!$D$6)</f>
        <v>13129766.7099887</v>
      </c>
      <c r="U30" s="17" t="n">
        <f aca="false">N30*Допущения!$D$28*E30/(1+Допущения!$D$6)</f>
        <v>1707475.19494879</v>
      </c>
      <c r="V30" s="17" t="n">
        <f aca="false">O30*Допущения!$D$26*Допущения!$D$27/(1+Допущения!$D$6)</f>
        <v>692492.28881099</v>
      </c>
      <c r="W30" s="17" t="n">
        <f aca="false">T30+U30+V30</f>
        <v>15529734.1937485</v>
      </c>
      <c r="X30" s="17" t="n">
        <f aca="false">J30*Допущения!$D$37</f>
        <v>20000</v>
      </c>
      <c r="Y30" s="17" t="n">
        <f aca="false">(R30*Допущения!$D$47+S30*Допущения!$D$49)*D30*Допущения!$D$9</f>
        <v>7000989.408</v>
      </c>
      <c r="Z30" s="17" t="n">
        <f aca="false">(MAX(0,R30-R29)+R30*Допущения!$D$50/12)*Допущения!$D$51*D30</f>
        <v>363333.6</v>
      </c>
      <c r="AA30" s="17" t="n">
        <f aca="false">O30*(Допущения!$D$53+Допущения!$D$54)+(L30*F30+N30*Допущения!$D$28*E30)*Допущения!$D$13</f>
        <v>2381604.60694932</v>
      </c>
      <c r="AB30" s="17" t="n">
        <f aca="false">(R30+S30)*Допущения!$D$52</f>
        <v>170100</v>
      </c>
      <c r="AC30" s="17" t="n">
        <f aca="false">SUMPRODUCT(Допущения!$B$84:$B$91,Допущения!$C$84:$C$91,--(Допущения!$D$84:$D$91&lt;=A30))*D30*Допущения!$D$9</f>
        <v>2293165.728</v>
      </c>
      <c r="AD30" s="17" t="n">
        <f aca="false">(AC30+Y30)*Допущения!$D$14</f>
        <v>929415.5136</v>
      </c>
      <c r="AE30" s="17" t="n">
        <f aca="false">Допущения!$D$55+Допущения!$D$56*O30/1000+Допущения!$D$57</f>
        <v>185058.164925302</v>
      </c>
      <c r="AF30" s="17" t="n">
        <f aca="false">SUMIF(Допущения!$B$95:$B$103,A30,Допущения!$C$95:$C$103)</f>
        <v>0</v>
      </c>
      <c r="AG30" s="17" t="n">
        <v>0</v>
      </c>
      <c r="AH30" s="17" t="n">
        <f aca="false">G30+SUM(X30:AG30)</f>
        <v>15357200.5076175</v>
      </c>
      <c r="AI30" s="17" t="n">
        <f aca="false">W30-AH30</f>
        <v>172533.686130933</v>
      </c>
      <c r="AJ30" s="17" t="n">
        <f aca="false">AJ29+AI30</f>
        <v>-32360434.1563265</v>
      </c>
      <c r="AK30" s="17" t="n">
        <f aca="false">O30*Допущения!$D$58*Допущения!$D$59</f>
        <v>185864.93031687</v>
      </c>
      <c r="AL30" s="17" t="n">
        <f aca="false">T30*Допущения!$D$72</f>
        <v>662005.04420111</v>
      </c>
      <c r="AM30" s="17" t="n">
        <f aca="false">IF(MOD(A30,12)=0,INDEX($F$70:$F$74,B30),0)</f>
        <v>0</v>
      </c>
      <c r="AN30" s="17" t="n">
        <f aca="false">AI30-AM30</f>
        <v>172533.686130933</v>
      </c>
      <c r="AO30" s="26" t="n">
        <f aca="false">1/(1+Допущения!$D$74)^A30</f>
        <v>0.660820772171133</v>
      </c>
      <c r="AP30" s="21" t="n">
        <f aca="false">IF(AND(A30&gt;Допущения!$D$19,MIN(AI30:AI$65)&gt;0),A30,"")</f>
        <v>25</v>
      </c>
      <c r="AQ30" s="21" t="str">
        <f aca="false">IF(MIN(AJ30:AJ$65)&gt;0,A30,"")</f>
        <v/>
      </c>
    </row>
    <row r="31" customFormat="false" ht="15" hidden="false" customHeight="false" outlineLevel="0" collapsed="false">
      <c r="A31" s="28" t="n">
        <v>26</v>
      </c>
      <c r="B31" s="28" t="n">
        <f aca="false">INT((A31-1)/12)+1</f>
        <v>3</v>
      </c>
      <c r="C31" s="12" t="s">
        <v>462</v>
      </c>
      <c r="D31" s="15" t="n">
        <f aca="false">(1+Допущения!$D$11)^(B31-1)</f>
        <v>1.1664</v>
      </c>
      <c r="E31" s="15" t="n">
        <f aca="false">(1+Допущения!$D$12)^(B31-1)</f>
        <v>1.1449</v>
      </c>
      <c r="F31" s="17" t="n">
        <f aca="false">Допущения!$D$71*E31</f>
        <v>3395.178052</v>
      </c>
      <c r="G31" s="17" t="n">
        <f aca="false">MIN(G30*(1+Допущения!$D$33),Допущения!$D$34)</f>
        <v>2174616.16503433</v>
      </c>
      <c r="H31" s="25" t="n">
        <f aca="false">MIN(Допущения!$D$30,G31/Допущения!$D$29)</f>
        <v>300</v>
      </c>
      <c r="I31" s="25" t="n">
        <f aca="false">MAX(0,G31-H31*Допущения!$D$29)/Допущения!$D$31</f>
        <v>287.436027505722</v>
      </c>
      <c r="J31" s="25" t="n">
        <f aca="false">IF(A31&gt;=Допущения!$D$35,Допущения!$D$36,0)</f>
        <v>40</v>
      </c>
      <c r="K31" s="25" t="n">
        <f aca="false">H31+I31+J31</f>
        <v>627.436027505722</v>
      </c>
      <c r="L31" s="25" t="n">
        <f aca="false">(L30-K30)*(1-Допущения!$D$44)+K30*(1-Допущения!$D$43)+K31</f>
        <v>4948.20685050173</v>
      </c>
      <c r="M31" s="25" t="n">
        <f aca="false">IF(A31&gt;=Допущения!$D$38,Допущения!$D$73/Допущения!$D$42*MIN(Допущения!$D$42,A31-Допущения!$D$38+1),0)</f>
        <v>60</v>
      </c>
      <c r="N31" s="25" t="n">
        <f aca="false">N30*(1-Допущения!$D$45)+M31</f>
        <v>956.02407314798</v>
      </c>
      <c r="O31" s="25" t="n">
        <f aca="false">L31+N31</f>
        <v>5904.23092364971</v>
      </c>
      <c r="P31" s="25" t="n">
        <f aca="false">L31*Допущения!$D$25</f>
        <v>1237.05171262543</v>
      </c>
      <c r="Q31" s="25" t="n">
        <f aca="false">L31*(1-Допущения!$D$25)+N31</f>
        <v>4667.17921102428</v>
      </c>
      <c r="R31" s="17" t="n">
        <f aca="false">MAX(Допущения!$D$18,ROUNDUP(Q31/Допущения!$D$68+P31/Допущения!$D$69,0))</f>
        <v>61</v>
      </c>
      <c r="S31" s="17" t="n">
        <f aca="false">ROUNDUP(R31/Допущения!$D$48,0)</f>
        <v>6</v>
      </c>
      <c r="T31" s="17" t="n">
        <f aca="false">L31*F31/(1+Допущения!$D$6)</f>
        <v>13770527.2914586</v>
      </c>
      <c r="U31" s="17" t="n">
        <f aca="false">N31*Допущения!$D$28*E31/(1+Допущения!$D$6)</f>
        <v>1785375.74023014</v>
      </c>
      <c r="V31" s="17" t="n">
        <f aca="false">O31*Допущения!$D$26*Допущения!$D$27/(1+Допущения!$D$6)</f>
        <v>725930.031596276</v>
      </c>
      <c r="W31" s="17" t="n">
        <f aca="false">T31+U31+V31</f>
        <v>16281833.063285</v>
      </c>
      <c r="X31" s="17" t="n">
        <f aca="false">J31*Допущения!$D$37</f>
        <v>20000</v>
      </c>
      <c r="Y31" s="17" t="n">
        <f aca="false">(R31*Допущения!$D$47+S31*Допущения!$D$49)*D31*Допущения!$D$9</f>
        <v>7486958.304</v>
      </c>
      <c r="Z31" s="17" t="n">
        <f aca="false">(MAX(0,R31-R30)+R31*Допущения!$D$50/12)*Допущения!$D$51*D31</f>
        <v>369457.2</v>
      </c>
      <c r="AA31" s="17" t="n">
        <f aca="false">O31*(Допущения!$D$53+Допущения!$D$54)+(L31*F31+N31*Допущения!$D$28*E31)*Допущения!$D$13</f>
        <v>2496651.91770803</v>
      </c>
      <c r="AB31" s="17" t="n">
        <f aca="false">(R31+S31)*Допущения!$D$52</f>
        <v>180900</v>
      </c>
      <c r="AC31" s="17" t="n">
        <f aca="false">SUMPRODUCT(Допущения!$B$84:$B$91,Допущения!$C$84:$C$91,--(Допущения!$D$84:$D$91&lt;=A31))*D31*Допущения!$D$9</f>
        <v>2293165.728</v>
      </c>
      <c r="AD31" s="17" t="n">
        <f aca="false">(AC31+Y31)*Допущения!$D$14</f>
        <v>978012.4032</v>
      </c>
      <c r="AE31" s="17" t="n">
        <f aca="false">Допущения!$D$55+Допущения!$D$56*O31/1000+Допущения!$D$57</f>
        <v>187233.847389198</v>
      </c>
      <c r="AF31" s="17" t="n">
        <f aca="false">SUMIF(Допущения!$B$95:$B$103,A31,Допущения!$C$95:$C$103)</f>
        <v>0</v>
      </c>
      <c r="AG31" s="17" t="n">
        <v>0</v>
      </c>
      <c r="AH31" s="17" t="n">
        <f aca="false">G31+SUM(X31:AG31)</f>
        <v>16186995.5653316</v>
      </c>
      <c r="AI31" s="17" t="n">
        <f aca="false">W31-AH31</f>
        <v>94837.4979534857</v>
      </c>
      <c r="AJ31" s="17" t="n">
        <f aca="false">AJ30+AI31</f>
        <v>-32265596.6583731</v>
      </c>
      <c r="AK31" s="17" t="n">
        <f aca="false">O31*Допущения!$D$58*Допущения!$D$59</f>
        <v>194839.620480441</v>
      </c>
      <c r="AL31" s="17" t="n">
        <f aca="false">T31*Допущения!$D$72</f>
        <v>694312.300409679</v>
      </c>
      <c r="AM31" s="17" t="n">
        <f aca="false">IF(MOD(A31,12)=0,INDEX($F$70:$F$74,B31),0)</f>
        <v>0</v>
      </c>
      <c r="AN31" s="17" t="n">
        <f aca="false">AI31-AM31</f>
        <v>94837.4979534857</v>
      </c>
      <c r="AO31" s="26" t="n">
        <f aca="false">1/(1+Допущения!$D$74)^A31</f>
        <v>0.649960603921256</v>
      </c>
      <c r="AP31" s="21" t="n">
        <f aca="false">IF(AND(A31&gt;Допущения!$D$19,MIN(AI31:AI$65)&gt;0),A31,"")</f>
        <v>26</v>
      </c>
      <c r="AQ31" s="21" t="str">
        <f aca="false">IF(MIN(AJ31:AJ$65)&gt;0,A31,"")</f>
        <v/>
      </c>
    </row>
    <row r="32" customFormat="false" ht="15" hidden="false" customHeight="false" outlineLevel="0" collapsed="false">
      <c r="A32" s="28" t="n">
        <v>27</v>
      </c>
      <c r="B32" s="28" t="n">
        <f aca="false">INT((A32-1)/12)+1</f>
        <v>3</v>
      </c>
      <c r="C32" s="12" t="s">
        <v>462</v>
      </c>
      <c r="D32" s="15" t="n">
        <f aca="false">(1+Допущения!$D$11)^(B32-1)</f>
        <v>1.1664</v>
      </c>
      <c r="E32" s="15" t="n">
        <f aca="false">(1+Допущения!$D$12)^(B32-1)</f>
        <v>1.1449</v>
      </c>
      <c r="F32" s="17" t="n">
        <f aca="false">Допущения!$D$71*E32</f>
        <v>3395.178052</v>
      </c>
      <c r="G32" s="17" t="n">
        <f aca="false">MIN(G31*(1+Допущения!$D$33),Допущения!$D$34)</f>
        <v>2348585.45823708</v>
      </c>
      <c r="H32" s="25" t="n">
        <f aca="false">MIN(Допущения!$D$30,G32/Допущения!$D$29)</f>
        <v>300</v>
      </c>
      <c r="I32" s="25" t="n">
        <f aca="false">MAX(0,G32-H32*Допущения!$D$29)/Допущения!$D$31</f>
        <v>316.43090970618</v>
      </c>
      <c r="J32" s="25" t="n">
        <f aca="false">IF(A32&gt;=Допущения!$D$35,Допущения!$D$36,0)</f>
        <v>40</v>
      </c>
      <c r="K32" s="25" t="n">
        <f aca="false">H32+I32+J32</f>
        <v>656.43090970618</v>
      </c>
      <c r="L32" s="25" t="n">
        <f aca="false">(L31-K31)*(1-Допущения!$D$44)+K31*(1-Допущения!$D$43)+K32</f>
        <v>5188.53250395172</v>
      </c>
      <c r="M32" s="25" t="n">
        <f aca="false">IF(A32&gt;=Допущения!$D$38,Допущения!$D$73/Допущения!$D$42*MIN(Допущения!$D$42,A32-Допущения!$D$38+1),0)</f>
        <v>60</v>
      </c>
      <c r="N32" s="25" t="n">
        <f aca="false">N31*(1-Допущения!$D$45)+M32</f>
        <v>996.90359168502</v>
      </c>
      <c r="O32" s="25" t="n">
        <f aca="false">L32+N32</f>
        <v>6185.43609563674</v>
      </c>
      <c r="P32" s="25" t="n">
        <f aca="false">L32*Допущения!$D$25</f>
        <v>1297.13312598793</v>
      </c>
      <c r="Q32" s="25" t="n">
        <f aca="false">L32*(1-Допущения!$D$25)+N32</f>
        <v>4888.30296964881</v>
      </c>
      <c r="R32" s="17" t="n">
        <f aca="false">MAX(Допущения!$D$18,ROUNDUP(Q32/Допущения!$D$68+P32/Допущения!$D$69,0))</f>
        <v>64</v>
      </c>
      <c r="S32" s="17" t="n">
        <f aca="false">ROUNDUP(R32/Допущения!$D$48,0)</f>
        <v>6</v>
      </c>
      <c r="T32" s="17" t="n">
        <f aca="false">L32*F32/(1+Допущения!$D$6)</f>
        <v>14439337.4422176</v>
      </c>
      <c r="U32" s="17" t="n">
        <f aca="false">N32*Допущения!$D$28*E32/(1+Допущения!$D$6)</f>
        <v>1861718.27460587</v>
      </c>
      <c r="V32" s="17" t="n">
        <f aca="false">O32*Допущения!$D$26*Допущения!$D$27/(1+Допущения!$D$6)</f>
        <v>760504.437988124</v>
      </c>
      <c r="W32" s="17" t="n">
        <f aca="false">T32+U32+V32</f>
        <v>17061560.1548116</v>
      </c>
      <c r="X32" s="17" t="n">
        <f aca="false">J32*Допущения!$D$37</f>
        <v>20000</v>
      </c>
      <c r="Y32" s="17" t="n">
        <f aca="false">(R32*Допущения!$D$47+S32*Допущения!$D$49)*D32*Допущения!$D$9</f>
        <v>7805875.392</v>
      </c>
      <c r="Z32" s="17" t="n">
        <f aca="false">(MAX(0,R32-R31)+R32*Допущения!$D$50/12)*Допущения!$D$51*D32</f>
        <v>375580.8</v>
      </c>
      <c r="AA32" s="17" t="n">
        <f aca="false">O32*(Допущения!$D$53+Допущения!$D$54)+(L32*F32+N32*Допущения!$D$28*E32)*Допущения!$D$13</f>
        <v>2615655.35844885</v>
      </c>
      <c r="AB32" s="17" t="n">
        <f aca="false">(R32+S32)*Допущения!$D$52</f>
        <v>189000</v>
      </c>
      <c r="AC32" s="17" t="n">
        <f aca="false">SUMPRODUCT(Допущения!$B$84:$B$91,Допущения!$C$84:$C$91,--(Допущения!$D$84:$D$91&lt;=A32))*D32*Допущения!$D$9</f>
        <v>2293165.728</v>
      </c>
      <c r="AD32" s="17" t="n">
        <f aca="false">(AC32+Y32)*Допущения!$D$14</f>
        <v>1009904.112</v>
      </c>
      <c r="AE32" s="17" t="n">
        <f aca="false">Допущения!$D$55+Допущения!$D$56*O32/1000+Допущения!$D$57</f>
        <v>189483.488765094</v>
      </c>
      <c r="AF32" s="17" t="n">
        <f aca="false">SUMIF(Допущения!$B$95:$B$103,A32,Допущения!$C$95:$C$103)</f>
        <v>0</v>
      </c>
      <c r="AG32" s="17" t="n">
        <v>0</v>
      </c>
      <c r="AH32" s="17" t="n">
        <f aca="false">G32+SUM(X32:AG32)</f>
        <v>16847250.337451</v>
      </c>
      <c r="AI32" s="17" t="n">
        <f aca="false">W32-AH32</f>
        <v>214309.817360573</v>
      </c>
      <c r="AJ32" s="17" t="n">
        <f aca="false">AJ31+AI32</f>
        <v>-32051286.8410125</v>
      </c>
      <c r="AK32" s="17" t="n">
        <f aca="false">O32*Допущения!$D$58*Допущения!$D$59</f>
        <v>204119.391156012</v>
      </c>
      <c r="AL32" s="17" t="n">
        <f aca="false">T32*Допущения!$D$72</f>
        <v>728033.820616014</v>
      </c>
      <c r="AM32" s="17" t="n">
        <f aca="false">IF(MOD(A32,12)=0,INDEX($F$70:$F$74,B32),0)</f>
        <v>0</v>
      </c>
      <c r="AN32" s="17" t="n">
        <f aca="false">AI32-AM32</f>
        <v>214309.817360573</v>
      </c>
      <c r="AO32" s="26" t="n">
        <f aca="false">1/(1+Допущения!$D$74)^A32</f>
        <v>0.639278915615386</v>
      </c>
      <c r="AP32" s="21" t="n">
        <f aca="false">IF(AND(A32&gt;Допущения!$D$19,MIN(AI32:AI$65)&gt;0),A32,"")</f>
        <v>27</v>
      </c>
      <c r="AQ32" s="21" t="str">
        <f aca="false">IF(MIN(AJ32:AJ$65)&gt;0,A32,"")</f>
        <v/>
      </c>
    </row>
    <row r="33" customFormat="false" ht="15" hidden="false" customHeight="false" outlineLevel="0" collapsed="false">
      <c r="A33" s="28" t="n">
        <v>28</v>
      </c>
      <c r="B33" s="28" t="n">
        <f aca="false">INT((A33-1)/12)+1</f>
        <v>3</v>
      </c>
      <c r="C33" s="12" t="s">
        <v>462</v>
      </c>
      <c r="D33" s="15" t="n">
        <f aca="false">(1+Допущения!$D$11)^(B33-1)</f>
        <v>1.1664</v>
      </c>
      <c r="E33" s="15" t="n">
        <f aca="false">(1+Допущения!$D$12)^(B33-1)</f>
        <v>1.1449</v>
      </c>
      <c r="F33" s="17" t="n">
        <f aca="false">Допущения!$D$71*E33</f>
        <v>3395.178052</v>
      </c>
      <c r="G33" s="17" t="n">
        <f aca="false">MIN(G32*(1+Допущения!$D$33),Допущения!$D$34)</f>
        <v>2500000</v>
      </c>
      <c r="H33" s="25" t="n">
        <f aca="false">MIN(Допущения!$D$30,G33/Допущения!$D$29)</f>
        <v>300</v>
      </c>
      <c r="I33" s="25" t="n">
        <f aca="false">MAX(0,G33-H33*Допущения!$D$29)/Допущения!$D$31</f>
        <v>341.666666666667</v>
      </c>
      <c r="J33" s="25" t="n">
        <f aca="false">IF(A33&gt;=Допущения!$D$35,Допущения!$D$36,0)</f>
        <v>40</v>
      </c>
      <c r="K33" s="25" t="n">
        <f aca="false">H33+I33+J33</f>
        <v>681.666666666667</v>
      </c>
      <c r="L33" s="25" t="n">
        <f aca="false">(L32-K32)*(1-Допущения!$D$44)+K32*(1-Допущения!$D$43)+K33</f>
        <v>5434.16534753711</v>
      </c>
      <c r="M33" s="25" t="n">
        <f aca="false">IF(A33&gt;=Допущения!$D$38,Допущения!$D$73/Допущения!$D$42*MIN(Допущения!$D$42,A33-Допущения!$D$38+1),0)</f>
        <v>60</v>
      </c>
      <c r="N33" s="25" t="n">
        <f aca="false">N32*(1-Допущения!$D$45)+M33</f>
        <v>1036.96551985132</v>
      </c>
      <c r="O33" s="25" t="n">
        <f aca="false">L33+N33</f>
        <v>6471.13086738843</v>
      </c>
      <c r="P33" s="25" t="n">
        <f aca="false">L33*Допущения!$D$25</f>
        <v>1358.54133688428</v>
      </c>
      <c r="Q33" s="25" t="n">
        <f aca="false">L33*(1-Допущения!$D$25)+N33</f>
        <v>5112.58953050415</v>
      </c>
      <c r="R33" s="17" t="n">
        <f aca="false">MAX(Допущения!$D$18,ROUNDUP(Q33/Допущения!$D$68+P33/Допущения!$D$69,0))</f>
        <v>67</v>
      </c>
      <c r="S33" s="17" t="n">
        <f aca="false">ROUNDUP(R33/Допущения!$D$48,0)</f>
        <v>6</v>
      </c>
      <c r="T33" s="17" t="n">
        <f aca="false">L33*F33/(1+Допущения!$D$6)</f>
        <v>15122917.1466368</v>
      </c>
      <c r="U33" s="17" t="n">
        <f aca="false">N33*Допущения!$D$28*E33/(1+Допущения!$D$6)</f>
        <v>1936533.95829408</v>
      </c>
      <c r="V33" s="17" t="n">
        <f aca="false">O33*Допущения!$D$26*Допущения!$D$27/(1+Допущения!$D$6)</f>
        <v>795630.844351037</v>
      </c>
      <c r="W33" s="17" t="n">
        <f aca="false">T33+U33+V33</f>
        <v>17855081.949282</v>
      </c>
      <c r="X33" s="17" t="n">
        <f aca="false">J33*Допущения!$D$37</f>
        <v>20000</v>
      </c>
      <c r="Y33" s="17" t="n">
        <f aca="false">(R33*Допущения!$D$47+S33*Допущения!$D$49)*D33*Допущения!$D$9</f>
        <v>8124792.48</v>
      </c>
      <c r="Z33" s="17" t="n">
        <f aca="false">(MAX(0,R33-R32)+R33*Допущения!$D$50/12)*Допущения!$D$51*D33</f>
        <v>381704.4</v>
      </c>
      <c r="AA33" s="17" t="n">
        <f aca="false">O33*(Допущения!$D$53+Допущения!$D$54)+(L33*F33+N33*Допущения!$D$28*E33)*Допущения!$D$13</f>
        <v>2736588.31286106</v>
      </c>
      <c r="AB33" s="17" t="n">
        <f aca="false">(R33+S33)*Допущения!$D$52</f>
        <v>197100</v>
      </c>
      <c r="AC33" s="17" t="n">
        <f aca="false">SUMPRODUCT(Допущения!$B$84:$B$91,Допущения!$C$84:$C$91,--(Допущения!$D$84:$D$91&lt;=A33))*D33*Допущения!$D$9</f>
        <v>2293165.728</v>
      </c>
      <c r="AD33" s="17" t="n">
        <f aca="false">(AC33+Y33)*Допущения!$D$14</f>
        <v>1041795.8208</v>
      </c>
      <c r="AE33" s="17" t="n">
        <f aca="false">Допущения!$D$55+Допущения!$D$56*O33/1000+Допущения!$D$57</f>
        <v>191769.046939107</v>
      </c>
      <c r="AF33" s="17" t="n">
        <f aca="false">SUMIF(Допущения!$B$95:$B$103,A33,Допущения!$C$95:$C$103)</f>
        <v>0</v>
      </c>
      <c r="AG33" s="17" t="n">
        <v>0</v>
      </c>
      <c r="AH33" s="17" t="n">
        <f aca="false">G33+SUM(X33:AG33)</f>
        <v>17486915.7886002</v>
      </c>
      <c r="AI33" s="17" t="n">
        <f aca="false">W33-AH33</f>
        <v>368166.160681792</v>
      </c>
      <c r="AJ33" s="17" t="n">
        <f aca="false">AJ32+AI33</f>
        <v>-31683120.6803307</v>
      </c>
      <c r="AK33" s="17" t="n">
        <f aca="false">O33*Допущения!$D$58*Допущения!$D$59</f>
        <v>213547.318623818</v>
      </c>
      <c r="AL33" s="17" t="n">
        <f aca="false">T33*Допущения!$D$72</f>
        <v>762500.024200177</v>
      </c>
      <c r="AM33" s="17" t="n">
        <f aca="false">IF(MOD(A33,12)=0,INDEX($F$70:$F$74,B33),0)</f>
        <v>0</v>
      </c>
      <c r="AN33" s="17" t="n">
        <f aca="false">AI33-AM33</f>
        <v>368166.160681792</v>
      </c>
      <c r="AO33" s="26" t="n">
        <f aca="false">1/(1+Допущения!$D$74)^A33</f>
        <v>0.628772774049389</v>
      </c>
      <c r="AP33" s="21" t="n">
        <f aca="false">IF(AND(A33&gt;Допущения!$D$19,MIN(AI33:AI$65)&gt;0),A33,"")</f>
        <v>28</v>
      </c>
      <c r="AQ33" s="21" t="str">
        <f aca="false">IF(MIN(AJ33:AJ$65)&gt;0,A33,"")</f>
        <v/>
      </c>
    </row>
    <row r="34" customFormat="false" ht="15" hidden="false" customHeight="false" outlineLevel="0" collapsed="false">
      <c r="A34" s="28" t="n">
        <v>29</v>
      </c>
      <c r="B34" s="28" t="n">
        <f aca="false">INT((A34-1)/12)+1</f>
        <v>3</v>
      </c>
      <c r="C34" s="12" t="s">
        <v>462</v>
      </c>
      <c r="D34" s="15" t="n">
        <f aca="false">(1+Допущения!$D$11)^(B34-1)</f>
        <v>1.1664</v>
      </c>
      <c r="E34" s="15" t="n">
        <f aca="false">(1+Допущения!$D$12)^(B34-1)</f>
        <v>1.1449</v>
      </c>
      <c r="F34" s="17" t="n">
        <f aca="false">Допущения!$D$71*E34</f>
        <v>3395.178052</v>
      </c>
      <c r="G34" s="17" t="n">
        <f aca="false">MIN(G33*(1+Допущения!$D$33),Допущения!$D$34)</f>
        <v>2500000</v>
      </c>
      <c r="H34" s="25" t="n">
        <f aca="false">MIN(Допущения!$D$30,G34/Допущения!$D$29)</f>
        <v>300</v>
      </c>
      <c r="I34" s="25" t="n">
        <f aca="false">MAX(0,G34-H34*Допущения!$D$29)/Допущения!$D$31</f>
        <v>341.666666666667</v>
      </c>
      <c r="J34" s="25" t="n">
        <f aca="false">IF(A34&gt;=Допущения!$D$35,Допущения!$D$36,0)</f>
        <v>40</v>
      </c>
      <c r="K34" s="25" t="n">
        <f aca="false">H34+I34+J34</f>
        <v>681.666666666667</v>
      </c>
      <c r="L34" s="25" t="n">
        <f aca="false">(L33-K33)*(1-Допущения!$D$44)+K33*(1-Допущения!$D$43)+K34</f>
        <v>5660.26542668488</v>
      </c>
      <c r="M34" s="25" t="n">
        <f aca="false">IF(A34&gt;=Допущения!$D$38,Допущения!$D$73/Допущения!$D$42*MIN(Допущения!$D$42,A34-Допущения!$D$38+1),0)</f>
        <v>60</v>
      </c>
      <c r="N34" s="25" t="n">
        <f aca="false">N33*(1-Допущения!$D$45)+M34</f>
        <v>1076.22620945429</v>
      </c>
      <c r="O34" s="25" t="n">
        <f aca="false">L34+N34</f>
        <v>6736.49163613918</v>
      </c>
      <c r="P34" s="25" t="n">
        <f aca="false">L34*Допущения!$D$25</f>
        <v>1415.06635667122</v>
      </c>
      <c r="Q34" s="25" t="n">
        <f aca="false">L34*(1-Допущения!$D$25)+N34</f>
        <v>5321.42527946796</v>
      </c>
      <c r="R34" s="17" t="n">
        <f aca="false">MAX(Допущения!$D$18,ROUNDUP(Q34/Допущения!$D$68+P34/Допущения!$D$69,0))</f>
        <v>70</v>
      </c>
      <c r="S34" s="17" t="n">
        <f aca="false">ROUNDUP(R34/Допущения!$D$48,0)</f>
        <v>6</v>
      </c>
      <c r="T34" s="17" t="n">
        <f aca="false">L34*F34/(1+Допущения!$D$6)</f>
        <v>15752138.4796516</v>
      </c>
      <c r="U34" s="17" t="n">
        <f aca="false">N34*Допущения!$D$28*E34/(1+Допущения!$D$6)</f>
        <v>2009853.32830852</v>
      </c>
      <c r="V34" s="17" t="n">
        <f aca="false">O34*Допущения!$D$26*Допущения!$D$27/(1+Допущения!$D$6)</f>
        <v>828257.168377768</v>
      </c>
      <c r="W34" s="17" t="n">
        <f aca="false">T34+U34+V34</f>
        <v>18590248.9763379</v>
      </c>
      <c r="X34" s="17" t="n">
        <f aca="false">J34*Допущения!$D$37</f>
        <v>20000</v>
      </c>
      <c r="Y34" s="17" t="n">
        <f aca="false">(R34*Допущения!$D$47+S34*Допущения!$D$49)*D34*Допущения!$D$9</f>
        <v>8443709.568</v>
      </c>
      <c r="Z34" s="17" t="n">
        <f aca="false">(MAX(0,R34-R33)+R34*Допущения!$D$50/12)*Допущения!$D$51*D34</f>
        <v>387828</v>
      </c>
      <c r="AA34" s="17" t="n">
        <f aca="false">O34*(Допущения!$D$53+Допущения!$D$54)+(L34*F34+N34*Допущения!$D$28*E34)*Допущения!$D$13</f>
        <v>2848872.7872936</v>
      </c>
      <c r="AB34" s="17" t="n">
        <f aca="false">(R34+S34)*Допущения!$D$52</f>
        <v>205200</v>
      </c>
      <c r="AC34" s="17" t="n">
        <f aca="false">SUMPRODUCT(Допущения!$B$84:$B$91,Допущения!$C$84:$C$91,--(Допущения!$D$84:$D$91&lt;=A34))*D34*Допущения!$D$9</f>
        <v>2293165.728</v>
      </c>
      <c r="AD34" s="17" t="n">
        <f aca="false">(AC34+Y34)*Допущения!$D$14</f>
        <v>1073687.5296</v>
      </c>
      <c r="AE34" s="17" t="n">
        <f aca="false">Допущения!$D$55+Допущения!$D$56*O34/1000+Допущения!$D$57</f>
        <v>193891.933089113</v>
      </c>
      <c r="AF34" s="17" t="n">
        <f aca="false">SUMIF(Допущения!$B$95:$B$103,A34,Допущения!$C$95:$C$103)</f>
        <v>0</v>
      </c>
      <c r="AG34" s="17" t="n">
        <v>0</v>
      </c>
      <c r="AH34" s="17" t="n">
        <f aca="false">G34+SUM(X34:AG34)</f>
        <v>17966355.5459827</v>
      </c>
      <c r="AI34" s="17" t="n">
        <f aca="false">W34-AH34</f>
        <v>623893.430355158</v>
      </c>
      <c r="AJ34" s="17" t="n">
        <f aca="false">AJ33+AI34</f>
        <v>-31059227.2499755</v>
      </c>
      <c r="AK34" s="17" t="n">
        <f aca="false">O34*Допущения!$D$58*Допущения!$D$59</f>
        <v>222304.223992593</v>
      </c>
      <c r="AL34" s="17" t="n">
        <f aca="false">T34*Допущения!$D$72</f>
        <v>794225.469562265</v>
      </c>
      <c r="AM34" s="17" t="n">
        <f aca="false">IF(MOD(A34,12)=0,INDEX($F$70:$F$74,B34),0)</f>
        <v>0</v>
      </c>
      <c r="AN34" s="17" t="n">
        <f aca="false">AI34-AM34</f>
        <v>623893.430355158</v>
      </c>
      <c r="AO34" s="26" t="n">
        <f aca="false">1/(1+Допущения!$D$74)^A34</f>
        <v>0.618439294224469</v>
      </c>
      <c r="AP34" s="21" t="n">
        <f aca="false">IF(AND(A34&gt;Допущения!$D$19,MIN(AI34:AI$65)&gt;0),A34,"")</f>
        <v>29</v>
      </c>
      <c r="AQ34" s="21" t="str">
        <f aca="false">IF(MIN(AJ34:AJ$65)&gt;0,A34,"")</f>
        <v/>
      </c>
    </row>
    <row r="35" customFormat="false" ht="15" hidden="false" customHeight="false" outlineLevel="0" collapsed="false">
      <c r="A35" s="28" t="n">
        <v>30</v>
      </c>
      <c r="B35" s="28" t="n">
        <f aca="false">INT((A35-1)/12)+1</f>
        <v>3</v>
      </c>
      <c r="C35" s="12" t="s">
        <v>462</v>
      </c>
      <c r="D35" s="15" t="n">
        <f aca="false">(1+Допущения!$D$11)^(B35-1)</f>
        <v>1.1664</v>
      </c>
      <c r="E35" s="15" t="n">
        <f aca="false">(1+Допущения!$D$12)^(B35-1)</f>
        <v>1.1449</v>
      </c>
      <c r="F35" s="17" t="n">
        <f aca="false">Допущения!$D$71*E35</f>
        <v>3395.178052</v>
      </c>
      <c r="G35" s="17" t="n">
        <f aca="false">MIN(G34*(1+Допущения!$D$33),Допущения!$D$34)</f>
        <v>2500000</v>
      </c>
      <c r="H35" s="25" t="n">
        <f aca="false">MIN(Допущения!$D$30,G35/Допущения!$D$29)</f>
        <v>300</v>
      </c>
      <c r="I35" s="25" t="n">
        <f aca="false">MAX(0,G35-H35*Допущения!$D$29)/Допущения!$D$31</f>
        <v>341.666666666667</v>
      </c>
      <c r="J35" s="25" t="n">
        <f aca="false">IF(A35&gt;=Допущения!$D$35,Допущения!$D$36,0)</f>
        <v>40</v>
      </c>
      <c r="K35" s="25" t="n">
        <f aca="false">H35+I35+J35</f>
        <v>681.666666666667</v>
      </c>
      <c r="L35" s="25" t="n">
        <f aca="false">(L34-K34)*(1-Допущения!$D$44)+K34*(1-Допущения!$D$43)+K35</f>
        <v>5872.79950108379</v>
      </c>
      <c r="M35" s="25" t="n">
        <f aca="false">IF(A35&gt;=Допущения!$D$38,Допущения!$D$73/Допущения!$D$42*MIN(Допущения!$D$42,A35-Допущения!$D$38+1),0)</f>
        <v>60</v>
      </c>
      <c r="N35" s="25" t="n">
        <f aca="false">N34*(1-Допущения!$D$45)+M35</f>
        <v>1114.70168526521</v>
      </c>
      <c r="O35" s="25" t="n">
        <f aca="false">L35+N35</f>
        <v>6987.501186349</v>
      </c>
      <c r="P35" s="25" t="n">
        <f aca="false">L35*Допущения!$D$25</f>
        <v>1468.19987527095</v>
      </c>
      <c r="Q35" s="25" t="n">
        <f aca="false">L35*(1-Допущения!$D$25)+N35</f>
        <v>5519.30131107805</v>
      </c>
      <c r="R35" s="17" t="n">
        <f aca="false">MAX(Допущения!$D$18,ROUNDUP(Q35/Допущения!$D$68+P35/Допущения!$D$69,0))</f>
        <v>72</v>
      </c>
      <c r="S35" s="17" t="n">
        <f aca="false">ROUNDUP(R35/Допущения!$D$48,0)</f>
        <v>6</v>
      </c>
      <c r="T35" s="17" t="n">
        <f aca="false">L35*F35/(1+Допущения!$D$6)</f>
        <v>16343606.5326854</v>
      </c>
      <c r="U35" s="17" t="n">
        <f aca="false">N35*Допущения!$D$28*E35/(1+Допущения!$D$6)</f>
        <v>2081706.31092268</v>
      </c>
      <c r="V35" s="17" t="n">
        <f aca="false">O35*Допущения!$D$26*Допущения!$D$27/(1+Допущения!$D$6)</f>
        <v>859118.998321598</v>
      </c>
      <c r="W35" s="17" t="n">
        <f aca="false">T35+U35+V35</f>
        <v>19284431.8419297</v>
      </c>
      <c r="X35" s="17" t="n">
        <f aca="false">J35*Допущения!$D$37</f>
        <v>20000</v>
      </c>
      <c r="Y35" s="17" t="n">
        <f aca="false">(R35*Допущения!$D$47+S35*Допущения!$D$49)*D35*Допущения!$D$9</f>
        <v>8656320.96</v>
      </c>
      <c r="Z35" s="17" t="n">
        <f aca="false">(MAX(0,R35-R34)+R35*Допущения!$D$50/12)*Допущения!$D$51*D35</f>
        <v>310262.4</v>
      </c>
      <c r="AA35" s="17" t="n">
        <f aca="false">O35*(Допущения!$D$53+Допущения!$D$54)+(L35*F35+N35*Допущения!$D$28*E35)*Допущения!$D$13</f>
        <v>2955057.80306302</v>
      </c>
      <c r="AB35" s="17" t="n">
        <f aca="false">(R35+S35)*Допущения!$D$52</f>
        <v>210600</v>
      </c>
      <c r="AC35" s="17" t="n">
        <f aca="false">SUMPRODUCT(Допущения!$B$84:$B$91,Допущения!$C$84:$C$91,--(Допущения!$D$84:$D$91&lt;=A35))*D35*Допущения!$D$9</f>
        <v>2293165.728</v>
      </c>
      <c r="AD35" s="17" t="n">
        <f aca="false">(AC35+Y35)*Допущения!$D$14</f>
        <v>1094948.6688</v>
      </c>
      <c r="AE35" s="17" t="n">
        <f aca="false">Допущения!$D$55+Допущения!$D$56*O35/1000+Допущения!$D$57</f>
        <v>195900.009490792</v>
      </c>
      <c r="AF35" s="17" t="n">
        <f aca="false">SUMIF(Допущения!$B$95:$B$103,A35,Допущения!$C$95:$C$103)</f>
        <v>0</v>
      </c>
      <c r="AG35" s="17" t="n">
        <v>0</v>
      </c>
      <c r="AH35" s="17" t="n">
        <f aca="false">G35+SUM(X35:AG35)</f>
        <v>18236255.5693538</v>
      </c>
      <c r="AI35" s="17" t="n">
        <f aca="false">W35-AH35</f>
        <v>1048176.2725759</v>
      </c>
      <c r="AJ35" s="17" t="n">
        <f aca="false">AJ34+AI35</f>
        <v>-30011050.9773996</v>
      </c>
      <c r="AK35" s="17" t="n">
        <f aca="false">O35*Допущения!$D$58*Допущения!$D$59</f>
        <v>230587.539149517</v>
      </c>
      <c r="AL35" s="17" t="n">
        <f aca="false">T35*Допущения!$D$72</f>
        <v>824047.388202627</v>
      </c>
      <c r="AM35" s="17" t="n">
        <f aca="false">IF(MOD(A35,12)=0,INDEX($F$70:$F$74,B35),0)</f>
        <v>0</v>
      </c>
      <c r="AN35" s="17" t="n">
        <f aca="false">AI35-AM35</f>
        <v>1048176.2725759</v>
      </c>
      <c r="AO35" s="26" t="n">
        <f aca="false">1/(1+Допущения!$D$74)^A35</f>
        <v>0.608275638554951</v>
      </c>
      <c r="AP35" s="21" t="n">
        <f aca="false">IF(AND(A35&gt;Допущения!$D$19,MIN(AI35:AI$65)&gt;0),A35,"")</f>
        <v>30</v>
      </c>
      <c r="AQ35" s="21" t="str">
        <f aca="false">IF(MIN(AJ35:AJ$65)&gt;0,A35,"")</f>
        <v/>
      </c>
    </row>
    <row r="36" customFormat="false" ht="15" hidden="false" customHeight="false" outlineLevel="0" collapsed="false">
      <c r="A36" s="28" t="n">
        <v>31</v>
      </c>
      <c r="B36" s="28" t="n">
        <f aca="false">INT((A36-1)/12)+1</f>
        <v>3</v>
      </c>
      <c r="C36" s="12" t="s">
        <v>462</v>
      </c>
      <c r="D36" s="15" t="n">
        <f aca="false">(1+Допущения!$D$11)^(B36-1)</f>
        <v>1.1664</v>
      </c>
      <c r="E36" s="15" t="n">
        <f aca="false">(1+Допущения!$D$12)^(B36-1)</f>
        <v>1.1449</v>
      </c>
      <c r="F36" s="17" t="n">
        <f aca="false">Допущения!$D$71*E36</f>
        <v>3395.178052</v>
      </c>
      <c r="G36" s="17" t="n">
        <f aca="false">MIN(G35*(1+Допущения!$D$33),Допущения!$D$34)</f>
        <v>2500000</v>
      </c>
      <c r="H36" s="25" t="n">
        <f aca="false">MIN(Допущения!$D$30,G36/Допущения!$D$29)</f>
        <v>300</v>
      </c>
      <c r="I36" s="25" t="n">
        <f aca="false">MAX(0,G36-H36*Допущения!$D$29)/Допущения!$D$31</f>
        <v>341.666666666667</v>
      </c>
      <c r="J36" s="25" t="n">
        <f aca="false">IF(A36&gt;=Допущения!$D$35,Допущения!$D$36,0)</f>
        <v>40</v>
      </c>
      <c r="K36" s="25" t="n">
        <f aca="false">H36+I36+J36</f>
        <v>681.666666666667</v>
      </c>
      <c r="L36" s="25" t="n">
        <f aca="false">(L35-K35)*(1-Допущения!$D$44)+K35*(1-Допущения!$D$43)+K36</f>
        <v>6072.58153101876</v>
      </c>
      <c r="M36" s="25" t="n">
        <f aca="false">IF(A36&gt;=Допущения!$D$38,Допущения!$D$73/Допущения!$D$42*MIN(Допущения!$D$42,A36-Допущения!$D$38+1),0)</f>
        <v>60</v>
      </c>
      <c r="N36" s="25" t="n">
        <f aca="false">N35*(1-Допущения!$D$45)+M36</f>
        <v>1152.4076515599</v>
      </c>
      <c r="O36" s="25" t="n">
        <f aca="false">L36+N36</f>
        <v>7224.98918257867</v>
      </c>
      <c r="P36" s="25" t="n">
        <f aca="false">L36*Допущения!$D$25</f>
        <v>1518.14538275469</v>
      </c>
      <c r="Q36" s="25" t="n">
        <f aca="false">L36*(1-Допущения!$D$25)+N36</f>
        <v>5706.84379982398</v>
      </c>
      <c r="R36" s="17" t="n">
        <f aca="false">MAX(Допущения!$D$18,ROUNDUP(Q36/Допущения!$D$68+P36/Допущения!$D$69,0))</f>
        <v>75</v>
      </c>
      <c r="S36" s="17" t="n">
        <f aca="false">ROUNDUP(R36/Допущения!$D$48,0)</f>
        <v>7</v>
      </c>
      <c r="T36" s="17" t="n">
        <f aca="false">L36*F36/(1+Допущения!$D$6)</f>
        <v>16899586.5025373</v>
      </c>
      <c r="U36" s="17" t="n">
        <f aca="false">N36*Допущения!$D$28*E36/(1+Допущения!$D$6)</f>
        <v>2152122.23388456</v>
      </c>
      <c r="V36" s="17" t="n">
        <f aca="false">O36*Допущения!$D$26*Допущения!$D$27/(1+Допущения!$D$6)</f>
        <v>888318.342120328</v>
      </c>
      <c r="W36" s="17" t="n">
        <f aca="false">T36+U36+V36</f>
        <v>19940027.0785421</v>
      </c>
      <c r="X36" s="17" t="n">
        <f aca="false">J36*Допущения!$D$37</f>
        <v>20000</v>
      </c>
      <c r="Y36" s="17" t="n">
        <f aca="false">(R36*Допущения!$D$47+S36*Допущения!$D$49)*D36*Допущения!$D$9</f>
        <v>9142289.856</v>
      </c>
      <c r="Z36" s="17" t="n">
        <f aca="false">(MAX(0,R36-R35)+R36*Допущения!$D$50/12)*Допущения!$D$51*D36</f>
        <v>398034</v>
      </c>
      <c r="AA36" s="17" t="n">
        <f aca="false">O36*(Допущения!$D$53+Допущения!$D$54)+(L36*F36+N36*Допущения!$D$28*E36)*Допущения!$D$13</f>
        <v>3055496.57549304</v>
      </c>
      <c r="AB36" s="17" t="n">
        <f aca="false">(R36+S36)*Допущения!$D$52</f>
        <v>221400</v>
      </c>
      <c r="AC36" s="17" t="n">
        <f aca="false">SUMPRODUCT(Допущения!$B$84:$B$91,Допущения!$C$84:$C$91,--(Допущения!$D$84:$D$91&lt;=A36))*D36*Допущения!$D$9</f>
        <v>2293165.728</v>
      </c>
      <c r="AD36" s="17" t="n">
        <f aca="false">(AC36+Y36)*Допущения!$D$14</f>
        <v>1143545.5584</v>
      </c>
      <c r="AE36" s="17" t="n">
        <f aca="false">Допущения!$D$55+Допущения!$D$56*O36/1000+Допущения!$D$57</f>
        <v>197799.913460629</v>
      </c>
      <c r="AF36" s="17" t="n">
        <f aca="false">SUMIF(Допущения!$B$95:$B$103,A36,Допущения!$C$95:$C$103)</f>
        <v>0</v>
      </c>
      <c r="AG36" s="17" t="n">
        <v>0</v>
      </c>
      <c r="AH36" s="17" t="n">
        <f aca="false">G36+SUM(X36:AG36)</f>
        <v>18971731.6313537</v>
      </c>
      <c r="AI36" s="17" t="n">
        <f aca="false">W36-AH36</f>
        <v>968295.447188474</v>
      </c>
      <c r="AJ36" s="17" t="n">
        <f aca="false">AJ35+AI36</f>
        <v>-29042755.5302112</v>
      </c>
      <c r="AK36" s="17" t="n">
        <f aca="false">O36*Допущения!$D$58*Допущения!$D$59</f>
        <v>238424.643025096</v>
      </c>
      <c r="AL36" s="17" t="n">
        <f aca="false">T36*Допущения!$D$72</f>
        <v>852079.991724568</v>
      </c>
      <c r="AM36" s="17" t="n">
        <f aca="false">IF(MOD(A36,12)=0,INDEX($F$70:$F$74,B36),0)</f>
        <v>0</v>
      </c>
      <c r="AN36" s="17" t="n">
        <f aca="false">AI36-AM36</f>
        <v>968295.447188474</v>
      </c>
      <c r="AO36" s="26" t="n">
        <f aca="false">1/(1+Допущения!$D$74)^A36</f>
        <v>0.598279016089068</v>
      </c>
      <c r="AP36" s="21" t="n">
        <f aca="false">IF(AND(A36&gt;Допущения!$D$19,MIN(AI36:AI$65)&gt;0),A36,"")</f>
        <v>31</v>
      </c>
      <c r="AQ36" s="21" t="str">
        <f aca="false">IF(MIN(AJ36:AJ$65)&gt;0,A36,"")</f>
        <v/>
      </c>
    </row>
    <row r="37" customFormat="false" ht="15" hidden="false" customHeight="false" outlineLevel="0" collapsed="false">
      <c r="A37" s="28" t="n">
        <v>32</v>
      </c>
      <c r="B37" s="28" t="n">
        <f aca="false">INT((A37-1)/12)+1</f>
        <v>3</v>
      </c>
      <c r="C37" s="12" t="s">
        <v>462</v>
      </c>
      <c r="D37" s="15" t="n">
        <f aca="false">(1+Допущения!$D$11)^(B37-1)</f>
        <v>1.1664</v>
      </c>
      <c r="E37" s="15" t="n">
        <f aca="false">(1+Допущения!$D$12)^(B37-1)</f>
        <v>1.1449</v>
      </c>
      <c r="F37" s="17" t="n">
        <f aca="false">Допущения!$D$71*E37</f>
        <v>3395.178052</v>
      </c>
      <c r="G37" s="17" t="n">
        <f aca="false">MIN(G36*(1+Допущения!$D$33),Допущения!$D$34)</f>
        <v>2500000</v>
      </c>
      <c r="H37" s="25" t="n">
        <f aca="false">MIN(Допущения!$D$30,G37/Допущения!$D$29)</f>
        <v>300</v>
      </c>
      <c r="I37" s="25" t="n">
        <f aca="false">MAX(0,G37-H37*Допущения!$D$29)/Допущения!$D$31</f>
        <v>341.666666666667</v>
      </c>
      <c r="J37" s="25" t="n">
        <f aca="false">IF(A37&gt;=Допущения!$D$35,Допущения!$D$36,0)</f>
        <v>40</v>
      </c>
      <c r="K37" s="25" t="n">
        <f aca="false">H37+I37+J37</f>
        <v>681.666666666667</v>
      </c>
      <c r="L37" s="25" t="n">
        <f aca="false">(L36-K36)*(1-Допущения!$D$44)+K36*(1-Допущения!$D$43)+K37</f>
        <v>6260.37663915764</v>
      </c>
      <c r="M37" s="25" t="n">
        <f aca="false">IF(A37&gt;=Допущения!$D$38,Допущения!$D$73/Допущения!$D$42*MIN(Допущения!$D$42,A37-Допущения!$D$38+1),0)</f>
        <v>60</v>
      </c>
      <c r="N37" s="25" t="n">
        <f aca="false">N36*(1-Допущения!$D$45)+M37</f>
        <v>1189.35949852871</v>
      </c>
      <c r="O37" s="25" t="n">
        <f aca="false">L37+N37</f>
        <v>7449.73613768634</v>
      </c>
      <c r="P37" s="25" t="n">
        <f aca="false">L37*Допущения!$D$25</f>
        <v>1565.09415978941</v>
      </c>
      <c r="Q37" s="25" t="n">
        <f aca="false">L37*(1-Допущения!$D$25)+N37</f>
        <v>5884.64197789693</v>
      </c>
      <c r="R37" s="17" t="n">
        <f aca="false">MAX(Допущения!$D$18,ROUNDUP(Q37/Допущения!$D$68+P37/Допущения!$D$69,0))</f>
        <v>77</v>
      </c>
      <c r="S37" s="17" t="n">
        <f aca="false">ROUNDUP(R37/Допущения!$D$48,0)</f>
        <v>7</v>
      </c>
      <c r="T37" s="17" t="n">
        <f aca="false">L37*F37/(1+Допущения!$D$6)</f>
        <v>17422207.674198</v>
      </c>
      <c r="U37" s="17" t="n">
        <f aca="false">N37*Допущения!$D$28*E37/(1+Допущения!$D$6)</f>
        <v>2221129.83838719</v>
      </c>
      <c r="V37" s="17" t="n">
        <f aca="false">O37*Допущения!$D$26*Допущения!$D$27/(1+Допущения!$D$6)</f>
        <v>915951.164469632</v>
      </c>
      <c r="W37" s="17" t="n">
        <f aca="false">T37+U37+V37</f>
        <v>20559288.6770548</v>
      </c>
      <c r="X37" s="17" t="n">
        <f aca="false">J37*Допущения!$D$37</f>
        <v>20000</v>
      </c>
      <c r="Y37" s="17" t="n">
        <f aca="false">(R37*Допущения!$D$47+S37*Допущения!$D$49)*D37*Допущения!$D$9</f>
        <v>9354901.248</v>
      </c>
      <c r="Z37" s="17" t="n">
        <f aca="false">(MAX(0,R37-R36)+R37*Допущения!$D$50/12)*Допущения!$D$51*D37</f>
        <v>320468.4</v>
      </c>
      <c r="AA37" s="17" t="n">
        <f aca="false">O37*(Допущения!$D$53+Допущения!$D$54)+(L37*F37+N37*Допущения!$D$28*E37)*Допущения!$D$13</f>
        <v>3150521.38203188</v>
      </c>
      <c r="AB37" s="17" t="n">
        <f aca="false">(R37+S37)*Допущения!$D$52</f>
        <v>226800</v>
      </c>
      <c r="AC37" s="17" t="n">
        <f aca="false">SUMPRODUCT(Допущения!$B$84:$B$91,Допущения!$C$84:$C$91,--(Допущения!$D$84:$D$91&lt;=A37))*D37*Допущения!$D$9</f>
        <v>2293165.728</v>
      </c>
      <c r="AD37" s="17" t="n">
        <f aca="false">(AC37+Y37)*Допущения!$D$14</f>
        <v>1164806.6976</v>
      </c>
      <c r="AE37" s="17" t="n">
        <f aca="false">Допущения!$D$55+Допущения!$D$56*O37/1000+Допущения!$D$57</f>
        <v>199597.889101491</v>
      </c>
      <c r="AF37" s="17" t="n">
        <f aca="false">SUMIF(Допущения!$B$95:$B$103,A37,Допущения!$C$95:$C$103)</f>
        <v>0</v>
      </c>
      <c r="AG37" s="17" t="n">
        <v>0</v>
      </c>
      <c r="AH37" s="17" t="n">
        <f aca="false">G37+SUM(X37:AG37)</f>
        <v>19230261.3447334</v>
      </c>
      <c r="AI37" s="17" t="n">
        <f aca="false">W37-AH37</f>
        <v>1329027.33232142</v>
      </c>
      <c r="AJ37" s="17" t="n">
        <f aca="false">AJ36+AI37</f>
        <v>-27713728.1978897</v>
      </c>
      <c r="AK37" s="17" t="n">
        <f aca="false">O37*Допущения!$D$58*Допущения!$D$59</f>
        <v>245841.292543649</v>
      </c>
      <c r="AL37" s="17" t="n">
        <f aca="false">T37*Допущения!$D$72</f>
        <v>878430.639035192</v>
      </c>
      <c r="AM37" s="17" t="n">
        <f aca="false">IF(MOD(A37,12)=0,INDEX($F$70:$F$74,B37),0)</f>
        <v>0</v>
      </c>
      <c r="AN37" s="17" t="n">
        <f aca="false">AI37-AM37</f>
        <v>1329027.33232142</v>
      </c>
      <c r="AO37" s="26" t="n">
        <f aca="false">1/(1+Допущения!$D$74)^A37</f>
        <v>0.588446681742569</v>
      </c>
      <c r="AP37" s="21" t="n">
        <f aca="false">IF(AND(A37&gt;Допущения!$D$19,MIN(AI37:AI$65)&gt;0),A37,"")</f>
        <v>32</v>
      </c>
      <c r="AQ37" s="21" t="str">
        <f aca="false">IF(MIN(AJ37:AJ$65)&gt;0,A37,"")</f>
        <v/>
      </c>
    </row>
    <row r="38" customFormat="false" ht="15" hidden="false" customHeight="false" outlineLevel="0" collapsed="false">
      <c r="A38" s="28" t="n">
        <v>33</v>
      </c>
      <c r="B38" s="28" t="n">
        <f aca="false">INT((A38-1)/12)+1</f>
        <v>3</v>
      </c>
      <c r="C38" s="12" t="s">
        <v>462</v>
      </c>
      <c r="D38" s="15" t="n">
        <f aca="false">(1+Допущения!$D$11)^(B38-1)</f>
        <v>1.1664</v>
      </c>
      <c r="E38" s="15" t="n">
        <f aca="false">(1+Допущения!$D$12)^(B38-1)</f>
        <v>1.1449</v>
      </c>
      <c r="F38" s="17" t="n">
        <f aca="false">Допущения!$D$71*E38</f>
        <v>3395.178052</v>
      </c>
      <c r="G38" s="17" t="n">
        <f aca="false">MIN(G37*(1+Допущения!$D$33),Допущения!$D$34)</f>
        <v>2500000</v>
      </c>
      <c r="H38" s="25" t="n">
        <f aca="false">MIN(Допущения!$D$30,G38/Допущения!$D$29)</f>
        <v>300</v>
      </c>
      <c r="I38" s="25" t="n">
        <f aca="false">MAX(0,G38-H38*Допущения!$D$29)/Допущения!$D$31</f>
        <v>341.666666666667</v>
      </c>
      <c r="J38" s="25" t="n">
        <f aca="false">IF(A38&gt;=Допущения!$D$35,Допущения!$D$36,0)</f>
        <v>40</v>
      </c>
      <c r="K38" s="25" t="n">
        <f aca="false">H38+I38+J38</f>
        <v>681.666666666667</v>
      </c>
      <c r="L38" s="25" t="n">
        <f aca="false">(L37-K37)*(1-Допущения!$D$44)+K37*(1-Допущения!$D$43)+K38</f>
        <v>6436.90404080818</v>
      </c>
      <c r="M38" s="25" t="n">
        <f aca="false">IF(A38&gt;=Допущения!$D$38,Допущения!$D$73/Допущения!$D$42*MIN(Допущения!$D$42,A38-Допущения!$D$38+1),0)</f>
        <v>60</v>
      </c>
      <c r="N38" s="25" t="n">
        <f aca="false">N37*(1-Допущения!$D$45)+M38</f>
        <v>1225.57230855813</v>
      </c>
      <c r="O38" s="25" t="n">
        <f aca="false">L38+N38</f>
        <v>7662.47634936631</v>
      </c>
      <c r="P38" s="25" t="n">
        <f aca="false">L38*Допущения!$D$25</f>
        <v>1609.22601020204</v>
      </c>
      <c r="Q38" s="25" t="n">
        <f aca="false">L38*(1-Допущения!$D$25)+N38</f>
        <v>6053.25033916426</v>
      </c>
      <c r="R38" s="17" t="n">
        <f aca="false">MAX(Допущения!$D$18,ROUNDUP(Q38/Допущения!$D$68+P38/Допущения!$D$69,0))</f>
        <v>79</v>
      </c>
      <c r="S38" s="17" t="n">
        <f aca="false">ROUNDUP(R38/Допущения!$D$48,0)</f>
        <v>7</v>
      </c>
      <c r="T38" s="17" t="n">
        <f aca="false">L38*F38/(1+Допущения!$D$6)</f>
        <v>17913471.575559</v>
      </c>
      <c r="U38" s="17" t="n">
        <f aca="false">N38*Допущения!$D$28*E38/(1+Допущения!$D$6)</f>
        <v>2288757.29079978</v>
      </c>
      <c r="V38" s="17" t="n">
        <f aca="false">O38*Допущения!$D$26*Допущения!$D$27/(1+Допущения!$D$6)</f>
        <v>942107.747872907</v>
      </c>
      <c r="W38" s="17" t="n">
        <f aca="false">T38+U38+V38</f>
        <v>21144336.6142317</v>
      </c>
      <c r="X38" s="17" t="n">
        <f aca="false">J38*Допущения!$D$37</f>
        <v>20000</v>
      </c>
      <c r="Y38" s="17" t="n">
        <f aca="false">(R38*Допущения!$D$47+S38*Допущения!$D$49)*D38*Допущения!$D$9</f>
        <v>9567512.64</v>
      </c>
      <c r="Z38" s="17" t="n">
        <f aca="false">(MAX(0,R38-R37)+R38*Допущения!$D$50/12)*Допущения!$D$51*D38</f>
        <v>324550.8</v>
      </c>
      <c r="AA38" s="17" t="n">
        <f aca="false">O38*(Допущения!$D$53+Допущения!$D$54)+(L38*F38+N38*Допущения!$D$28*E38)*Допущения!$D$13</f>
        <v>3240444.81342394</v>
      </c>
      <c r="AB38" s="17" t="n">
        <f aca="false">(R38+S38)*Допущения!$D$52</f>
        <v>232200</v>
      </c>
      <c r="AC38" s="17" t="n">
        <f aca="false">SUMPRODUCT(Допущения!$B$84:$B$91,Допущения!$C$84:$C$91,--(Допущения!$D$84:$D$91&lt;=A38))*D38*Допущения!$D$9</f>
        <v>2293165.728</v>
      </c>
      <c r="AD38" s="17" t="n">
        <f aca="false">(AC38+Y38)*Допущения!$D$14</f>
        <v>1186067.8368</v>
      </c>
      <c r="AE38" s="17" t="n">
        <f aca="false">Допущения!$D$55+Допущения!$D$56*O38/1000+Допущения!$D$57</f>
        <v>201299.81079493</v>
      </c>
      <c r="AF38" s="17" t="n">
        <f aca="false">SUMIF(Допущения!$B$95:$B$103,A38,Допущения!$C$95:$C$103)</f>
        <v>0</v>
      </c>
      <c r="AG38" s="17" t="n">
        <v>0</v>
      </c>
      <c r="AH38" s="17" t="n">
        <f aca="false">G38+SUM(X38:AG38)</f>
        <v>19565241.6290189</v>
      </c>
      <c r="AI38" s="17" t="n">
        <f aca="false">W38-AH38</f>
        <v>1579094.98521286</v>
      </c>
      <c r="AJ38" s="17" t="n">
        <f aca="false">AJ37+AI38</f>
        <v>-26134633.2126769</v>
      </c>
      <c r="AK38" s="17" t="n">
        <f aca="false">O38*Допущения!$D$58*Допущения!$D$59</f>
        <v>252861.719529088</v>
      </c>
      <c r="AL38" s="17" t="n">
        <f aca="false">T38*Допущения!$D$72</f>
        <v>903200.247507179</v>
      </c>
      <c r="AM38" s="17" t="n">
        <f aca="false">IF(MOD(A38,12)=0,INDEX($F$70:$F$74,B38),0)</f>
        <v>0</v>
      </c>
      <c r="AN38" s="17" t="n">
        <f aca="false">AI38-AM38</f>
        <v>1579094.98521286</v>
      </c>
      <c r="AO38" s="26" t="n">
        <f aca="false">1/(1+Допущения!$D$74)^A38</f>
        <v>0.578775935544913</v>
      </c>
      <c r="AP38" s="21" t="n">
        <f aca="false">IF(AND(A38&gt;Допущения!$D$19,MIN(AI38:AI$65)&gt;0),A38,"")</f>
        <v>33</v>
      </c>
      <c r="AQ38" s="21" t="str">
        <f aca="false">IF(MIN(AJ38:AJ$65)&gt;0,A38,"")</f>
        <v/>
      </c>
    </row>
    <row r="39" customFormat="false" ht="15" hidden="false" customHeight="false" outlineLevel="0" collapsed="false">
      <c r="A39" s="28" t="n">
        <v>34</v>
      </c>
      <c r="B39" s="28" t="n">
        <f aca="false">INT((A39-1)/12)+1</f>
        <v>3</v>
      </c>
      <c r="C39" s="12" t="s">
        <v>462</v>
      </c>
      <c r="D39" s="15" t="n">
        <f aca="false">(1+Допущения!$D$11)^(B39-1)</f>
        <v>1.1664</v>
      </c>
      <c r="E39" s="15" t="n">
        <f aca="false">(1+Допущения!$D$12)^(B39-1)</f>
        <v>1.1449</v>
      </c>
      <c r="F39" s="17" t="n">
        <f aca="false">Допущения!$D$71*E39</f>
        <v>3395.178052</v>
      </c>
      <c r="G39" s="17" t="n">
        <f aca="false">MIN(G38*(1+Допущения!$D$33),Допущения!$D$34)</f>
        <v>2500000</v>
      </c>
      <c r="H39" s="25" t="n">
        <f aca="false">MIN(Допущения!$D$30,G39/Допущения!$D$29)</f>
        <v>300</v>
      </c>
      <c r="I39" s="25" t="n">
        <f aca="false">MAX(0,G39-H39*Допущения!$D$29)/Допущения!$D$31</f>
        <v>341.666666666667</v>
      </c>
      <c r="J39" s="25" t="n">
        <f aca="false">IF(A39&gt;=Допущения!$D$35,Допущения!$D$36,0)</f>
        <v>40</v>
      </c>
      <c r="K39" s="25" t="n">
        <f aca="false">H39+I39+J39</f>
        <v>681.666666666667</v>
      </c>
      <c r="L39" s="25" t="n">
        <f aca="false">(L38-K38)*(1-Допущения!$D$44)+K38*(1-Допущения!$D$43)+K39</f>
        <v>6602.83979835969</v>
      </c>
      <c r="M39" s="25" t="n">
        <f aca="false">IF(A39&gt;=Допущения!$D$38,Допущения!$D$73/Допущения!$D$42*MIN(Допущения!$D$42,A39-Допущения!$D$38+1),0)</f>
        <v>60</v>
      </c>
      <c r="N39" s="25" t="n">
        <f aca="false">N38*(1-Допущения!$D$45)+M39</f>
        <v>1261.06086238697</v>
      </c>
      <c r="O39" s="25" t="n">
        <f aca="false">L39+N39</f>
        <v>7863.90066074665</v>
      </c>
      <c r="P39" s="25" t="n">
        <f aca="false">L39*Допущения!$D$25</f>
        <v>1650.70994958992</v>
      </c>
      <c r="Q39" s="25" t="n">
        <f aca="false">L39*(1-Допущения!$D$25)+N39</f>
        <v>6213.19071115673</v>
      </c>
      <c r="R39" s="17" t="n">
        <f aca="false">MAX(Допущения!$D$18,ROUNDUP(Q39/Допущения!$D$68+P39/Допущения!$D$69,0))</f>
        <v>81</v>
      </c>
      <c r="S39" s="17" t="n">
        <f aca="false">ROUNDUP(R39/Допущения!$D$48,0)</f>
        <v>7</v>
      </c>
      <c r="T39" s="17" t="n">
        <f aca="false">L39*F39/(1+Допущения!$D$6)</f>
        <v>18375259.6428385</v>
      </c>
      <c r="U39" s="17" t="n">
        <f aca="false">N39*Допущения!$D$28*E39/(1+Допущения!$D$6)</f>
        <v>2355032.19416411</v>
      </c>
      <c r="V39" s="17" t="n">
        <f aca="false">O39*Допущения!$D$26*Допущения!$D$27/(1+Допущения!$D$6)</f>
        <v>966873.032059015</v>
      </c>
      <c r="W39" s="17" t="n">
        <f aca="false">T39+U39+V39</f>
        <v>21697164.8690616</v>
      </c>
      <c r="X39" s="17" t="n">
        <f aca="false">J39*Допущения!$D$37</f>
        <v>20000</v>
      </c>
      <c r="Y39" s="17" t="n">
        <f aca="false">(R39*Допущения!$D$47+S39*Допущения!$D$49)*D39*Допущения!$D$9</f>
        <v>9780124.032</v>
      </c>
      <c r="Z39" s="17" t="n">
        <f aca="false">(MAX(0,R39-R38)+R39*Допущения!$D$50/12)*Допущения!$D$51*D39</f>
        <v>328633.2</v>
      </c>
      <c r="AA39" s="17" t="n">
        <f aca="false">O39*(Допущения!$D$53+Допущения!$D$54)+(L39*F39+N39*Допущения!$D$28*E39)*Допущения!$D$13</f>
        <v>3325560.94991311</v>
      </c>
      <c r="AB39" s="17" t="n">
        <f aca="false">(R39+S39)*Допущения!$D$52</f>
        <v>237600</v>
      </c>
      <c r="AC39" s="17" t="n">
        <f aca="false">SUMPRODUCT(Допущения!$B$84:$B$91,Допущения!$C$84:$C$91,--(Допущения!$D$84:$D$91&lt;=A39))*D39*Допущения!$D$9</f>
        <v>2293165.728</v>
      </c>
      <c r="AD39" s="17" t="n">
        <f aca="false">(AC39+Y39)*Допущения!$D$14</f>
        <v>1207328.976</v>
      </c>
      <c r="AE39" s="17" t="n">
        <f aca="false">Допущения!$D$55+Допущения!$D$56*O39/1000+Допущения!$D$57</f>
        <v>202911.205285973</v>
      </c>
      <c r="AF39" s="17" t="n">
        <f aca="false">SUMIF(Допущения!$B$95:$B$103,A39,Допущения!$C$95:$C$103)</f>
        <v>0</v>
      </c>
      <c r="AG39" s="17" t="n">
        <v>0</v>
      </c>
      <c r="AH39" s="17" t="n">
        <f aca="false">G39+SUM(X39:AG39)</f>
        <v>19895324.0911991</v>
      </c>
      <c r="AI39" s="17" t="n">
        <f aca="false">W39-AH39</f>
        <v>1801840.7778625</v>
      </c>
      <c r="AJ39" s="17" t="n">
        <f aca="false">AJ38+AI39</f>
        <v>-24332792.4348144</v>
      </c>
      <c r="AK39" s="17" t="n">
        <f aca="false">O39*Допущения!$D$58*Допущения!$D$59</f>
        <v>259508.72180464</v>
      </c>
      <c r="AL39" s="17" t="n">
        <f aca="false">T39*Допущения!$D$72</f>
        <v>926483.679470847</v>
      </c>
      <c r="AM39" s="17" t="n">
        <f aca="false">IF(MOD(A39,12)=0,INDEX($F$70:$F$74,B39),0)</f>
        <v>0</v>
      </c>
      <c r="AN39" s="17" t="n">
        <f aca="false">AI39-AM39</f>
        <v>1801840.7778625</v>
      </c>
      <c r="AO39" s="26" t="n">
        <f aca="false">1/(1+Допущения!$D$74)^A39</f>
        <v>0.569264121897854</v>
      </c>
      <c r="AP39" s="21" t="n">
        <f aca="false">IF(AND(A39&gt;Допущения!$D$19,MIN(AI39:AI$65)&gt;0),A39,"")</f>
        <v>34</v>
      </c>
      <c r="AQ39" s="21" t="str">
        <f aca="false">IF(MIN(AJ39:AJ$65)&gt;0,A39,"")</f>
        <v/>
      </c>
    </row>
    <row r="40" customFormat="false" ht="15" hidden="false" customHeight="false" outlineLevel="0" collapsed="false">
      <c r="A40" s="28" t="n">
        <v>35</v>
      </c>
      <c r="B40" s="28" t="n">
        <f aca="false">INT((A40-1)/12)+1</f>
        <v>3</v>
      </c>
      <c r="C40" s="12" t="s">
        <v>462</v>
      </c>
      <c r="D40" s="15" t="n">
        <f aca="false">(1+Допущения!$D$11)^(B40-1)</f>
        <v>1.1664</v>
      </c>
      <c r="E40" s="15" t="n">
        <f aca="false">(1+Допущения!$D$12)^(B40-1)</f>
        <v>1.1449</v>
      </c>
      <c r="F40" s="17" t="n">
        <f aca="false">Допущения!$D$71*E40</f>
        <v>3395.178052</v>
      </c>
      <c r="G40" s="17" t="n">
        <f aca="false">MIN(G39*(1+Допущения!$D$33),Допущения!$D$34)</f>
        <v>2500000</v>
      </c>
      <c r="H40" s="25" t="n">
        <f aca="false">MIN(Допущения!$D$30,G40/Допущения!$D$29)</f>
        <v>300</v>
      </c>
      <c r="I40" s="25" t="n">
        <f aca="false">MAX(0,G40-H40*Допущения!$D$29)/Допущения!$D$31</f>
        <v>341.666666666667</v>
      </c>
      <c r="J40" s="25" t="n">
        <f aca="false">IF(A40&gt;=Допущения!$D$35,Допущения!$D$36,0)</f>
        <v>40</v>
      </c>
      <c r="K40" s="25" t="n">
        <f aca="false">H40+I40+J40</f>
        <v>681.666666666667</v>
      </c>
      <c r="L40" s="25" t="n">
        <f aca="false">(L39-K39)*(1-Допущения!$D$44)+K39*(1-Допущения!$D$43)+K40</f>
        <v>6758.8194104581</v>
      </c>
      <c r="M40" s="25" t="n">
        <f aca="false">IF(A40&gt;=Допущения!$D$38,Допущения!$D$73/Допущения!$D$42*MIN(Допущения!$D$42,A40-Допущения!$D$38+1),0)</f>
        <v>60</v>
      </c>
      <c r="N40" s="25" t="n">
        <f aca="false">N39*(1-Допущения!$D$45)+M40</f>
        <v>1295.83964513923</v>
      </c>
      <c r="O40" s="25" t="n">
        <f aca="false">L40+N40</f>
        <v>8054.65905559733</v>
      </c>
      <c r="P40" s="25" t="n">
        <f aca="false">L40*Допущения!$D$25</f>
        <v>1689.70485261453</v>
      </c>
      <c r="Q40" s="25" t="n">
        <f aca="false">L40*(1-Допущения!$D$25)+N40</f>
        <v>6364.95420298281</v>
      </c>
      <c r="R40" s="17" t="n">
        <f aca="false">MAX(Допущения!$D$18,ROUNDUP(Q40/Допущения!$D$68+P40/Допущения!$D$69,0))</f>
        <v>83</v>
      </c>
      <c r="S40" s="17" t="n">
        <f aca="false">ROUNDUP(R40/Допущения!$D$48,0)</f>
        <v>7</v>
      </c>
      <c r="T40" s="17" t="n">
        <f aca="false">L40*F40/(1+Допущения!$D$6)</f>
        <v>18809340.4260811</v>
      </c>
      <c r="U40" s="17" t="n">
        <f aca="false">N40*Допущения!$D$28*E40/(1+Допущения!$D$6)</f>
        <v>2419981.59946115</v>
      </c>
      <c r="V40" s="17" t="n">
        <f aca="false">O40*Допущения!$D$26*Допущения!$D$27/(1+Допущения!$D$6)</f>
        <v>990326.933065246</v>
      </c>
      <c r="W40" s="17" t="n">
        <f aca="false">T40+U40+V40</f>
        <v>22219648.9586075</v>
      </c>
      <c r="X40" s="17" t="n">
        <f aca="false">J40*Допущения!$D$37</f>
        <v>20000</v>
      </c>
      <c r="Y40" s="17" t="n">
        <f aca="false">(R40*Допущения!$D$47+S40*Допущения!$D$49)*D40*Допущения!$D$9</f>
        <v>9992735.424</v>
      </c>
      <c r="Z40" s="17" t="n">
        <f aca="false">(MAX(0,R40-R39)+R40*Допущения!$D$50/12)*Допущения!$D$51*D40</f>
        <v>332715.6</v>
      </c>
      <c r="AA40" s="17" t="n">
        <f aca="false">O40*(Допущения!$D$53+Допущения!$D$54)+(L40*F40+N40*Допущения!$D$28*E40)*Допущения!$D$13</f>
        <v>3406146.46697393</v>
      </c>
      <c r="AB40" s="17" t="n">
        <f aca="false">(R40+S40)*Допущения!$D$52</f>
        <v>243000</v>
      </c>
      <c r="AC40" s="17" t="n">
        <f aca="false">SUMPRODUCT(Допущения!$B$84:$B$91,Допущения!$C$84:$C$91,--(Допущения!$D$84:$D$91&lt;=A40))*D40*Допущения!$D$9</f>
        <v>2293165.728</v>
      </c>
      <c r="AD40" s="17" t="n">
        <f aca="false">(AC40+Y40)*Допущения!$D$14</f>
        <v>1228590.1152</v>
      </c>
      <c r="AE40" s="17" t="n">
        <f aca="false">Допущения!$D$55+Допущения!$D$56*O40/1000+Допущения!$D$57</f>
        <v>204437.272444779</v>
      </c>
      <c r="AF40" s="17" t="n">
        <f aca="false">SUMIF(Допущения!$B$95:$B$103,A40,Допущения!$C$95:$C$103)</f>
        <v>0</v>
      </c>
      <c r="AG40" s="17" t="n">
        <v>0</v>
      </c>
      <c r="AH40" s="17" t="n">
        <f aca="false">G40+SUM(X40:AG40)</f>
        <v>20220790.6066187</v>
      </c>
      <c r="AI40" s="17" t="n">
        <f aca="false">W40-AH40</f>
        <v>1998858.35198878</v>
      </c>
      <c r="AJ40" s="17" t="n">
        <f aca="false">AJ39+AI40</f>
        <v>-22333934.0828256</v>
      </c>
      <c r="AK40" s="17" t="n">
        <f aca="false">O40*Допущения!$D$58*Допущения!$D$59</f>
        <v>265803.748834712</v>
      </c>
      <c r="AL40" s="17" t="n">
        <f aca="false">T40*Допущения!$D$72</f>
        <v>948370.105516694</v>
      </c>
      <c r="AM40" s="17" t="n">
        <f aca="false">IF(MOD(A40,12)=0,INDEX($F$70:$F$74,B40),0)</f>
        <v>0</v>
      </c>
      <c r="AN40" s="17" t="n">
        <f aca="false">AI40-AM40</f>
        <v>1998858.35198878</v>
      </c>
      <c r="AO40" s="26" t="n">
        <f aca="false">1/(1+Допущения!$D$74)^A40</f>
        <v>0.55990862884621</v>
      </c>
      <c r="AP40" s="21" t="n">
        <f aca="false">IF(AND(A40&gt;Допущения!$D$19,MIN(AI40:AI$65)&gt;0),A40,"")</f>
        <v>35</v>
      </c>
      <c r="AQ40" s="21" t="str">
        <f aca="false">IF(MIN(AJ40:AJ$65)&gt;0,A40,"")</f>
        <v/>
      </c>
    </row>
    <row r="41" customFormat="false" ht="15" hidden="false" customHeight="false" outlineLevel="0" collapsed="false">
      <c r="A41" s="28" t="n">
        <v>36</v>
      </c>
      <c r="B41" s="28" t="n">
        <f aca="false">INT((A41-1)/12)+1</f>
        <v>3</v>
      </c>
      <c r="C41" s="12" t="s">
        <v>462</v>
      </c>
      <c r="D41" s="15" t="n">
        <f aca="false">(1+Допущения!$D$11)^(B41-1)</f>
        <v>1.1664</v>
      </c>
      <c r="E41" s="15" t="n">
        <f aca="false">(1+Допущения!$D$12)^(B41-1)</f>
        <v>1.1449</v>
      </c>
      <c r="F41" s="17" t="n">
        <f aca="false">Допущения!$D$71*E41</f>
        <v>3395.178052</v>
      </c>
      <c r="G41" s="17" t="n">
        <f aca="false">MIN(G40*(1+Допущения!$D$33),Допущения!$D$34)</f>
        <v>2500000</v>
      </c>
      <c r="H41" s="25" t="n">
        <f aca="false">MIN(Допущения!$D$30,G41/Допущения!$D$29)</f>
        <v>300</v>
      </c>
      <c r="I41" s="25" t="n">
        <f aca="false">MAX(0,G41-H41*Допущения!$D$29)/Допущения!$D$31</f>
        <v>341.666666666667</v>
      </c>
      <c r="J41" s="25" t="n">
        <f aca="false">IF(A41&gt;=Допущения!$D$35,Допущения!$D$36,0)</f>
        <v>40</v>
      </c>
      <c r="K41" s="25" t="n">
        <f aca="false">H41+I41+J41</f>
        <v>681.666666666667</v>
      </c>
      <c r="L41" s="25" t="n">
        <f aca="false">(L40-K40)*(1-Допущения!$D$44)+K40*(1-Допущения!$D$43)+K41</f>
        <v>6905.44024583062</v>
      </c>
      <c r="M41" s="25" t="n">
        <f aca="false">IF(A41&gt;=Допущения!$D$38,Допущения!$D$73/Допущения!$D$42*MIN(Допущения!$D$42,A41-Допущения!$D$38+1),0)</f>
        <v>60</v>
      </c>
      <c r="N41" s="25" t="n">
        <f aca="false">N40*(1-Допущения!$D$45)+M41</f>
        <v>1329.92285223644</v>
      </c>
      <c r="O41" s="25" t="n">
        <f aca="false">L41+N41</f>
        <v>8235.36309806706</v>
      </c>
      <c r="P41" s="25" t="n">
        <f aca="false">L41*Допущения!$D$25</f>
        <v>1726.36006145765</v>
      </c>
      <c r="Q41" s="25" t="n">
        <f aca="false">L41*(1-Допущения!$D$25)+N41</f>
        <v>6509.00303660941</v>
      </c>
      <c r="R41" s="17" t="n">
        <f aca="false">MAX(Допущения!$D$18,ROUNDUP(Q41/Допущения!$D$68+P41/Допущения!$D$69,0))</f>
        <v>85</v>
      </c>
      <c r="S41" s="17" t="n">
        <f aca="false">ROUNDUP(R41/Допущения!$D$48,0)</f>
        <v>8</v>
      </c>
      <c r="T41" s="17" t="n">
        <f aca="false">L41*F41/(1+Допущения!$D$6)</f>
        <v>19217376.3623292</v>
      </c>
      <c r="U41" s="17" t="n">
        <f aca="false">N41*Допущения!$D$28*E41/(1+Допущения!$D$6)</f>
        <v>2483632.01665226</v>
      </c>
      <c r="V41" s="17" t="n">
        <f aca="false">O41*Допущения!$D$26*Допущения!$D$27/(1+Допущения!$D$6)</f>
        <v>1012544.64320497</v>
      </c>
      <c r="W41" s="17" t="n">
        <f aca="false">T41+U41+V41</f>
        <v>22713553.0221864</v>
      </c>
      <c r="X41" s="17" t="n">
        <f aca="false">J41*Допущения!$D$37</f>
        <v>20000</v>
      </c>
      <c r="Y41" s="17" t="n">
        <f aca="false">(R41*Допущения!$D$47+S41*Допущения!$D$49)*D41*Допущения!$D$9</f>
        <v>10372398.624</v>
      </c>
      <c r="Z41" s="17" t="n">
        <f aca="false">(MAX(0,R41-R40)+R41*Допущения!$D$50/12)*Допущения!$D$51*D41</f>
        <v>336798</v>
      </c>
      <c r="AA41" s="17" t="n">
        <f aca="false">O41*(Допущения!$D$53+Допущения!$D$54)+(L41*F41+N41*Допущения!$D$28*E41)*Допущения!$D$13</f>
        <v>3482461.67479691</v>
      </c>
      <c r="AB41" s="17" t="n">
        <f aca="false">(R41+S41)*Допущения!$D$52</f>
        <v>251100</v>
      </c>
      <c r="AC41" s="17" t="n">
        <f aca="false">SUMPRODUCT(Допущения!$B$84:$B$91,Допущения!$C$84:$C$91,--(Допущения!$D$84:$D$91&lt;=A41))*D41*Допущения!$D$9</f>
        <v>2293165.728</v>
      </c>
      <c r="AD41" s="17" t="n">
        <f aca="false">(AC41+Y41)*Допущения!$D$14</f>
        <v>1266556.4352</v>
      </c>
      <c r="AE41" s="17" t="n">
        <f aca="false">Допущения!$D$55+Допущения!$D$56*O41/1000+Допущения!$D$57</f>
        <v>205882.904784537</v>
      </c>
      <c r="AF41" s="17" t="n">
        <f aca="false">SUMIF(Допущения!$B$95:$B$103,A41,Допущения!$C$95:$C$103)</f>
        <v>0</v>
      </c>
      <c r="AG41" s="17" t="n">
        <v>0</v>
      </c>
      <c r="AH41" s="17" t="n">
        <f aca="false">G41+SUM(X41:AG41)</f>
        <v>20728363.3667815</v>
      </c>
      <c r="AI41" s="17" t="n">
        <f aca="false">W41-AH41</f>
        <v>1985189.65540496</v>
      </c>
      <c r="AJ41" s="17" t="n">
        <f aca="false">AJ40+AI41</f>
        <v>-20348744.4274207</v>
      </c>
      <c r="AK41" s="17" t="n">
        <f aca="false">O41*Допущения!$D$58*Допущения!$D$59</f>
        <v>271766.982236213</v>
      </c>
      <c r="AL41" s="17" t="n">
        <f aca="false">T41*Допущения!$D$72</f>
        <v>968943.345999791</v>
      </c>
      <c r="AM41" s="17" t="n">
        <f aca="false">IF(MOD(A41,12)=0,INDEX($F$70:$F$74,B41),0)</f>
        <v>1523027.9268796</v>
      </c>
      <c r="AN41" s="17" t="n">
        <f aca="false">AI41-AM41</f>
        <v>462161.728525355</v>
      </c>
      <c r="AO41" s="26" t="n">
        <f aca="false">1/(1+Допущения!$D$74)^A41</f>
        <v>0.550706887360618</v>
      </c>
      <c r="AP41" s="21" t="n">
        <f aca="false">IF(AND(A41&gt;Допущения!$D$19,MIN(AI41:AI$65)&gt;0),A41,"")</f>
        <v>36</v>
      </c>
      <c r="AQ41" s="21" t="str">
        <f aca="false">IF(MIN(AJ41:AJ$65)&gt;0,A41,"")</f>
        <v/>
      </c>
    </row>
    <row r="42" customFormat="false" ht="15" hidden="false" customHeight="false" outlineLevel="0" collapsed="false">
      <c r="A42" s="28" t="n">
        <v>37</v>
      </c>
      <c r="B42" s="28" t="n">
        <f aca="false">INT((A42-1)/12)+1</f>
        <v>4</v>
      </c>
      <c r="C42" s="12" t="s">
        <v>462</v>
      </c>
      <c r="D42" s="15" t="n">
        <f aca="false">(1+Допущения!$D$11)^(B42-1)</f>
        <v>1.259712</v>
      </c>
      <c r="E42" s="15" t="n">
        <f aca="false">(1+Допущения!$D$12)^(B42-1)</f>
        <v>1.225043</v>
      </c>
      <c r="F42" s="17" t="n">
        <f aca="false">Допущения!$D$71*E42</f>
        <v>3632.84051564</v>
      </c>
      <c r="G42" s="17" t="n">
        <f aca="false">MIN(G41*(1+Допущения!$D$33),Допущения!$D$34)</f>
        <v>2500000</v>
      </c>
      <c r="H42" s="25" t="n">
        <f aca="false">MIN(Допущения!$D$30,G42/Допущения!$D$29)</f>
        <v>300</v>
      </c>
      <c r="I42" s="25" t="n">
        <f aca="false">MAX(0,G42-H42*Допущения!$D$29)/Допущения!$D$31</f>
        <v>341.666666666667</v>
      </c>
      <c r="J42" s="25" t="n">
        <f aca="false">IF(A42&gt;=Допущения!$D$35,Допущения!$D$36,0)</f>
        <v>40</v>
      </c>
      <c r="K42" s="25" t="n">
        <f aca="false">H42+I42+J42</f>
        <v>681.666666666667</v>
      </c>
      <c r="L42" s="25" t="n">
        <f aca="false">(L41-K41)*(1-Допущения!$D$44)+K41*(1-Допущения!$D$43)+K42</f>
        <v>7043.26383108078</v>
      </c>
      <c r="M42" s="25" t="n">
        <f aca="false">IF(A42&gt;=Допущения!$D$38,Допущения!$D$73/Допущения!$D$42*MIN(Допущения!$D$42,A42-Допущения!$D$38+1),0)</f>
        <v>60</v>
      </c>
      <c r="N42" s="25" t="n">
        <f aca="false">N41*(1-Допущения!$D$45)+M42</f>
        <v>1363.32439519172</v>
      </c>
      <c r="O42" s="25" t="n">
        <f aca="false">L42+N42</f>
        <v>8406.5882262725</v>
      </c>
      <c r="P42" s="25" t="n">
        <f aca="false">L42*Допущения!$D$25</f>
        <v>1760.8159577702</v>
      </c>
      <c r="Q42" s="25" t="n">
        <f aca="false">L42*(1-Допущения!$D$25)+N42</f>
        <v>6645.7722685023</v>
      </c>
      <c r="R42" s="17" t="n">
        <f aca="false">MAX(Допущения!$D$18,ROUNDUP(Q42/Допущения!$D$68+P42/Допущения!$D$69,0))</f>
        <v>87</v>
      </c>
      <c r="S42" s="17" t="n">
        <f aca="false">ROUNDUP(R42/Допущения!$D$48,0)</f>
        <v>8</v>
      </c>
      <c r="T42" s="17" t="n">
        <f aca="false">L42*F42/(1+Допущения!$D$6)</f>
        <v>20972995.2523705</v>
      </c>
      <c r="U42" s="17" t="n">
        <f aca="false">N42*Допущения!$D$28*E42/(1+Допущения!$D$6)</f>
        <v>2724230.08528451</v>
      </c>
      <c r="V42" s="17" t="n">
        <f aca="false">O42*Допущения!$D$26*Допущения!$D$27/(1+Допущения!$D$6)</f>
        <v>1033596.91306629</v>
      </c>
      <c r="W42" s="17" t="n">
        <f aca="false">T42+U42+V42</f>
        <v>24730822.2507213</v>
      </c>
      <c r="X42" s="17" t="n">
        <f aca="false">J42*Допущения!$D$37</f>
        <v>20000</v>
      </c>
      <c r="Y42" s="17" t="n">
        <f aca="false">(R42*Допущения!$D$47+S42*Допущения!$D$49)*D42*Допущения!$D$9</f>
        <v>11431810.81728</v>
      </c>
      <c r="Z42" s="17" t="n">
        <f aca="false">(MAX(0,R42-R41)+R42*Допущения!$D$50/12)*Допущения!$D$51*D42</f>
        <v>368150.832</v>
      </c>
      <c r="AA42" s="17" t="n">
        <f aca="false">O42*(Допущения!$D$53+Допущения!$D$54)+(L42*F42+N42*Допущения!$D$28*E42)*Допущения!$D$13</f>
        <v>3588795.77100437</v>
      </c>
      <c r="AB42" s="17" t="n">
        <f aca="false">(R42+S42)*Допущения!$D$52</f>
        <v>256500</v>
      </c>
      <c r="AC42" s="17" t="n">
        <f aca="false">SUMPRODUCT(Допущения!$B$84:$B$91,Допущения!$C$84:$C$91,--(Допущения!$D$84:$D$91&lt;=A42))*D42*Допущения!$D$9</f>
        <v>2476618.98624</v>
      </c>
      <c r="AD42" s="17" t="n">
        <f aca="false">(AC42+Y42)*Допущения!$D$14</f>
        <v>1390842.980352</v>
      </c>
      <c r="AE42" s="17" t="n">
        <f aca="false">Допущения!$D$55+Допущения!$D$56*O42/1000+Допущения!$D$57</f>
        <v>207252.70581018</v>
      </c>
      <c r="AF42" s="17" t="n">
        <f aca="false">SUMIF(Допущения!$B$95:$B$103,A42,Допущения!$C$95:$C$103)</f>
        <v>0</v>
      </c>
      <c r="AG42" s="17" t="n">
        <v>0</v>
      </c>
      <c r="AH42" s="17" t="n">
        <f aca="false">G42+SUM(X42:AG42)</f>
        <v>22239972.0926866</v>
      </c>
      <c r="AI42" s="17" t="n">
        <f aca="false">W42-AH42</f>
        <v>2490850.1580348</v>
      </c>
      <c r="AJ42" s="17" t="n">
        <f aca="false">AJ41+AI42</f>
        <v>-17857894.2693859</v>
      </c>
      <c r="AK42" s="17" t="n">
        <f aca="false">O42*Допущения!$D$58*Допущения!$D$59</f>
        <v>277417.411466992</v>
      </c>
      <c r="AL42" s="17" t="n">
        <f aca="false">T42*Допущения!$D$72</f>
        <v>1057461.94549767</v>
      </c>
      <c r="AM42" s="17" t="n">
        <f aca="false">IF(MOD(A42,12)=0,INDEX($F$70:$F$74,B42),0)</f>
        <v>0</v>
      </c>
      <c r="AN42" s="17" t="n">
        <f aca="false">AI42-AM42</f>
        <v>2490850.1580348</v>
      </c>
      <c r="AO42" s="26" t="n">
        <f aca="false">1/(1+Допущения!$D$74)^A42</f>
        <v>0.541656370632077</v>
      </c>
      <c r="AP42" s="21" t="n">
        <f aca="false">IF(AND(A42&gt;Допущения!$D$19,MIN(AI42:AI$65)&gt;0),A42,"")</f>
        <v>37</v>
      </c>
      <c r="AQ42" s="21" t="str">
        <f aca="false">IF(MIN(AJ42:AJ$65)&gt;0,A42,"")</f>
        <v/>
      </c>
    </row>
    <row r="43" customFormat="false" ht="15" hidden="false" customHeight="false" outlineLevel="0" collapsed="false">
      <c r="A43" s="28" t="n">
        <v>38</v>
      </c>
      <c r="B43" s="28" t="n">
        <f aca="false">INT((A43-1)/12)+1</f>
        <v>4</v>
      </c>
      <c r="C43" s="12" t="s">
        <v>462</v>
      </c>
      <c r="D43" s="15" t="n">
        <f aca="false">(1+Допущения!$D$11)^(B43-1)</f>
        <v>1.259712</v>
      </c>
      <c r="E43" s="15" t="n">
        <f aca="false">(1+Допущения!$D$12)^(B43-1)</f>
        <v>1.225043</v>
      </c>
      <c r="F43" s="17" t="n">
        <f aca="false">Допущения!$D$71*E43</f>
        <v>3632.84051564</v>
      </c>
      <c r="G43" s="17" t="n">
        <f aca="false">MIN(G42*(1+Допущения!$D$33),Допущения!$D$34)</f>
        <v>2500000</v>
      </c>
      <c r="H43" s="25" t="n">
        <f aca="false">MIN(Допущения!$D$30,G43/Допущения!$D$29)</f>
        <v>300</v>
      </c>
      <c r="I43" s="25" t="n">
        <f aca="false">MAX(0,G43-H43*Допущения!$D$29)/Допущения!$D$31</f>
        <v>341.666666666667</v>
      </c>
      <c r="J43" s="25" t="n">
        <f aca="false">IF(A43&gt;=Допущения!$D$35,Допущения!$D$36,0)</f>
        <v>40</v>
      </c>
      <c r="K43" s="25" t="n">
        <f aca="false">H43+I43+J43</f>
        <v>681.666666666667</v>
      </c>
      <c r="L43" s="25" t="n">
        <f aca="false">(L42-K42)*(1-Допущения!$D$44)+K42*(1-Допущения!$D$43)+K43</f>
        <v>7172.81800121593</v>
      </c>
      <c r="M43" s="25" t="n">
        <f aca="false">IF(A43&gt;=Допущения!$D$38,Допущения!$D$73/Допущения!$D$42*MIN(Допущения!$D$42,A43-Допущения!$D$38+1),0)</f>
        <v>60</v>
      </c>
      <c r="N43" s="25" t="n">
        <f aca="false">N42*(1-Допущения!$D$45)+M43</f>
        <v>1396.05790728788</v>
      </c>
      <c r="O43" s="25" t="n">
        <f aca="false">L43+N43</f>
        <v>8568.87590850382</v>
      </c>
      <c r="P43" s="25" t="n">
        <f aca="false">L43*Допущения!$D$25</f>
        <v>1793.20450030398</v>
      </c>
      <c r="Q43" s="25" t="n">
        <f aca="false">L43*(1-Допущения!$D$25)+N43</f>
        <v>6775.67140819983</v>
      </c>
      <c r="R43" s="17" t="n">
        <f aca="false">MAX(Допущения!$D$18,ROUNDUP(Q43/Допущения!$D$68+P43/Допущения!$D$69,0))</f>
        <v>88</v>
      </c>
      <c r="S43" s="17" t="n">
        <f aca="false">ROUNDUP(R43/Допущения!$D$48,0)</f>
        <v>8</v>
      </c>
      <c r="T43" s="17" t="n">
        <f aca="false">L43*F43/(1+Допущения!$D$6)</f>
        <v>21358773.6443682</v>
      </c>
      <c r="U43" s="17" t="n">
        <f aca="false">N43*Допущения!$D$28*E43/(1+Допущения!$D$6)</f>
        <v>2789639.03620177</v>
      </c>
      <c r="V43" s="17" t="n">
        <f aca="false">O43*Допущения!$D$26*Допущения!$D$27/(1+Допущения!$D$6)</f>
        <v>1053550.31661932</v>
      </c>
      <c r="W43" s="17" t="n">
        <f aca="false">T43+U43+V43</f>
        <v>25201962.9971893</v>
      </c>
      <c r="X43" s="17" t="n">
        <f aca="false">J43*Допущения!$D$37</f>
        <v>20000</v>
      </c>
      <c r="Y43" s="17" t="n">
        <f aca="false">(R43*Допущения!$D$47+S43*Допущения!$D$49)*D43*Допущения!$D$9</f>
        <v>11546620.96896</v>
      </c>
      <c r="Z43" s="17" t="n">
        <f aca="false">(MAX(0,R43-R42)+R43*Допущения!$D$50/12)*Допущения!$D$51*D43</f>
        <v>282175.488</v>
      </c>
      <c r="AA43" s="17" t="n">
        <f aca="false">O43*(Допущения!$D$53+Допущения!$D$54)+(L43*F43+N43*Допущения!$D$28*E43)*Допущения!$D$13</f>
        <v>3657938.84906921</v>
      </c>
      <c r="AB43" s="17" t="n">
        <f aca="false">(R43+S43)*Допущения!$D$52</f>
        <v>259200</v>
      </c>
      <c r="AC43" s="17" t="n">
        <f aca="false">SUMPRODUCT(Допущения!$B$84:$B$91,Допущения!$C$84:$C$91,--(Допущения!$D$84:$D$91&lt;=A43))*D43*Допущения!$D$9</f>
        <v>2476618.98624</v>
      </c>
      <c r="AD43" s="17" t="n">
        <f aca="false">(AC43+Y43)*Допущения!$D$14</f>
        <v>1402323.99552</v>
      </c>
      <c r="AE43" s="17" t="n">
        <f aca="false">Допущения!$D$55+Допущения!$D$56*O43/1000+Допущения!$D$57</f>
        <v>208551.007268031</v>
      </c>
      <c r="AF43" s="17" t="n">
        <f aca="false">SUMIF(Допущения!$B$95:$B$103,A43,Допущения!$C$95:$C$103)</f>
        <v>0</v>
      </c>
      <c r="AG43" s="17" t="n">
        <v>0</v>
      </c>
      <c r="AH43" s="17" t="n">
        <f aca="false">G43+SUM(X43:AG43)</f>
        <v>22353429.2950572</v>
      </c>
      <c r="AI43" s="17" t="n">
        <f aca="false">W43-AH43</f>
        <v>2848533.70213202</v>
      </c>
      <c r="AJ43" s="17" t="n">
        <f aca="false">AJ42+AI43</f>
        <v>-15009360.5672538</v>
      </c>
      <c r="AK43" s="17" t="n">
        <f aca="false">O43*Допущения!$D$58*Допущения!$D$59</f>
        <v>282772.904980626</v>
      </c>
      <c r="AL43" s="17" t="n">
        <f aca="false">T43*Допущения!$D$72</f>
        <v>1076912.9568589</v>
      </c>
      <c r="AM43" s="17" t="n">
        <f aca="false">IF(MOD(A43,12)=0,INDEX($F$70:$F$74,B43),0)</f>
        <v>0</v>
      </c>
      <c r="AN43" s="17" t="n">
        <f aca="false">AI43-AM43</f>
        <v>2848533.70213202</v>
      </c>
      <c r="AO43" s="26" t="n">
        <f aca="false">1/(1+Допущения!$D$74)^A43</f>
        <v>0.53275459337808</v>
      </c>
      <c r="AP43" s="21" t="n">
        <f aca="false">IF(AND(A43&gt;Допущения!$D$19,MIN(AI43:AI$65)&gt;0),A43,"")</f>
        <v>38</v>
      </c>
      <c r="AQ43" s="21" t="str">
        <f aca="false">IF(MIN(AJ43:AJ$65)&gt;0,A43,"")</f>
        <v/>
      </c>
    </row>
    <row r="44" customFormat="false" ht="15" hidden="false" customHeight="false" outlineLevel="0" collapsed="false">
      <c r="A44" s="28" t="n">
        <v>39</v>
      </c>
      <c r="B44" s="28" t="n">
        <f aca="false">INT((A44-1)/12)+1</f>
        <v>4</v>
      </c>
      <c r="C44" s="12" t="s">
        <v>462</v>
      </c>
      <c r="D44" s="15" t="n">
        <f aca="false">(1+Допущения!$D$11)^(B44-1)</f>
        <v>1.259712</v>
      </c>
      <c r="E44" s="15" t="n">
        <f aca="false">(1+Допущения!$D$12)^(B44-1)</f>
        <v>1.225043</v>
      </c>
      <c r="F44" s="17" t="n">
        <f aca="false">Допущения!$D$71*E44</f>
        <v>3632.84051564</v>
      </c>
      <c r="G44" s="17" t="n">
        <f aca="false">MIN(G43*(1+Допущения!$D$33),Допущения!$D$34)</f>
        <v>2500000</v>
      </c>
      <c r="H44" s="25" t="n">
        <f aca="false">MIN(Допущения!$D$30,G44/Допущения!$D$29)</f>
        <v>300</v>
      </c>
      <c r="I44" s="25" t="n">
        <f aca="false">MAX(0,G44-H44*Допущения!$D$29)/Допущения!$D$31</f>
        <v>341.666666666667</v>
      </c>
      <c r="J44" s="25" t="n">
        <f aca="false">IF(A44&gt;=Допущения!$D$35,Допущения!$D$36,0)</f>
        <v>40</v>
      </c>
      <c r="K44" s="25" t="n">
        <f aca="false">H44+I44+J44</f>
        <v>681.666666666667</v>
      </c>
      <c r="L44" s="25" t="n">
        <f aca="false">(L43-K43)*(1-Допущения!$D$44)+K43*(1-Допущения!$D$43)+K44</f>
        <v>7294.59892114298</v>
      </c>
      <c r="M44" s="25" t="n">
        <f aca="false">IF(A44&gt;=Допущения!$D$38,Допущения!$D$73/Допущения!$D$42*MIN(Допущения!$D$42,A44-Допущения!$D$38+1),0)</f>
        <v>60</v>
      </c>
      <c r="N44" s="25" t="n">
        <f aca="false">N43*(1-Допущения!$D$45)+M44</f>
        <v>1428.13674914212</v>
      </c>
      <c r="O44" s="25" t="n">
        <f aca="false">L44+N44</f>
        <v>8722.7356702851</v>
      </c>
      <c r="P44" s="25" t="n">
        <f aca="false">L44*Допущения!$D$25</f>
        <v>1823.64973028574</v>
      </c>
      <c r="Q44" s="25" t="n">
        <f aca="false">L44*(1-Допущения!$D$25)+N44</f>
        <v>6899.08593999936</v>
      </c>
      <c r="R44" s="17" t="n">
        <f aca="false">MAX(Допущения!$D$18,ROUNDUP(Q44/Допущения!$D$68+P44/Допущения!$D$69,0))</f>
        <v>90</v>
      </c>
      <c r="S44" s="17" t="n">
        <f aca="false">ROUNDUP(R44/Допущения!$D$48,0)</f>
        <v>8</v>
      </c>
      <c r="T44" s="17" t="n">
        <f aca="false">L44*F44/(1+Допущения!$D$6)</f>
        <v>21721405.3328459</v>
      </c>
      <c r="U44" s="17" t="n">
        <f aca="false">N44*Допущения!$D$28*E44/(1+Допущения!$D$6)</f>
        <v>2853739.80810069</v>
      </c>
      <c r="V44" s="17" t="n">
        <f aca="false">O44*Допущения!$D$26*Допущения!$D$27/(1+Допущения!$D$6)</f>
        <v>1072467.50044489</v>
      </c>
      <c r="W44" s="17" t="n">
        <f aca="false">T44+U44+V44</f>
        <v>25647612.6413915</v>
      </c>
      <c r="X44" s="17" t="n">
        <f aca="false">J44*Допущения!$D$37</f>
        <v>20000</v>
      </c>
      <c r="Y44" s="17" t="n">
        <f aca="false">(R44*Допущения!$D$47+S44*Допущения!$D$49)*D44*Допущения!$D$9</f>
        <v>11776241.27232</v>
      </c>
      <c r="Z44" s="17" t="n">
        <f aca="false">(MAX(0,R44-R43)+R44*Допущения!$D$50/12)*Допущения!$D$51*D44</f>
        <v>374764.32</v>
      </c>
      <c r="AA44" s="17" t="n">
        <f aca="false">O44*(Допущения!$D$53+Допущения!$D$54)+(L44*F44+N44*Допущения!$D$28*E44)*Допущения!$D$13</f>
        <v>3723468.70694925</v>
      </c>
      <c r="AB44" s="17" t="n">
        <f aca="false">(R44+S44)*Допущения!$D$52</f>
        <v>264600</v>
      </c>
      <c r="AC44" s="17" t="n">
        <f aca="false">SUMPRODUCT(Допущения!$B$84:$B$91,Допущения!$C$84:$C$91,--(Допущения!$D$84:$D$91&lt;=A44))*D44*Допущения!$D$9</f>
        <v>2476618.98624</v>
      </c>
      <c r="AD44" s="17" t="n">
        <f aca="false">(AC44+Y44)*Допущения!$D$14</f>
        <v>1425286.025856</v>
      </c>
      <c r="AE44" s="17" t="n">
        <f aca="false">Допущения!$D$55+Допущения!$D$56*O44/1000+Допущения!$D$57</f>
        <v>209781.885362281</v>
      </c>
      <c r="AF44" s="17" t="n">
        <f aca="false">SUMIF(Допущения!$B$95:$B$103,A44,Допущения!$C$95:$C$103)</f>
        <v>0</v>
      </c>
      <c r="AG44" s="17" t="n">
        <v>0</v>
      </c>
      <c r="AH44" s="17" t="n">
        <f aca="false">G44+SUM(X44:AG44)</f>
        <v>22770761.1967275</v>
      </c>
      <c r="AI44" s="17" t="n">
        <f aca="false">W44-AH44</f>
        <v>2876851.44466398</v>
      </c>
      <c r="AJ44" s="17" t="n">
        <f aca="false">AJ43+AI44</f>
        <v>-12132509.1225899</v>
      </c>
      <c r="AK44" s="17" t="n">
        <f aca="false">O44*Допущения!$D$58*Допущения!$D$59</f>
        <v>287850.277119408</v>
      </c>
      <c r="AL44" s="17" t="n">
        <f aca="false">T44*Допущения!$D$72</f>
        <v>1095196.90753845</v>
      </c>
      <c r="AM44" s="17" t="n">
        <f aca="false">IF(MOD(A44,12)=0,INDEX($F$70:$F$74,B44),0)</f>
        <v>0</v>
      </c>
      <c r="AN44" s="17" t="n">
        <f aca="false">AI44-AM44</f>
        <v>2876851.44466398</v>
      </c>
      <c r="AO44" s="26" t="n">
        <f aca="false">1/(1+Допущения!$D$74)^A44</f>
        <v>0.523999111160154</v>
      </c>
      <c r="AP44" s="21" t="n">
        <f aca="false">IF(AND(A44&gt;Допущения!$D$19,MIN(AI44:AI$65)&gt;0),A44,"")</f>
        <v>39</v>
      </c>
      <c r="AQ44" s="21" t="str">
        <f aca="false">IF(MIN(AJ44:AJ$65)&gt;0,A44,"")</f>
        <v/>
      </c>
    </row>
    <row r="45" customFormat="false" ht="15" hidden="false" customHeight="false" outlineLevel="0" collapsed="false">
      <c r="A45" s="28" t="n">
        <v>40</v>
      </c>
      <c r="B45" s="28" t="n">
        <f aca="false">INT((A45-1)/12)+1</f>
        <v>4</v>
      </c>
      <c r="C45" s="12" t="s">
        <v>462</v>
      </c>
      <c r="D45" s="15" t="n">
        <f aca="false">(1+Допущения!$D$11)^(B45-1)</f>
        <v>1.259712</v>
      </c>
      <c r="E45" s="15" t="n">
        <f aca="false">(1+Допущения!$D$12)^(B45-1)</f>
        <v>1.225043</v>
      </c>
      <c r="F45" s="17" t="n">
        <f aca="false">Допущения!$D$71*E45</f>
        <v>3632.84051564</v>
      </c>
      <c r="G45" s="17" t="n">
        <f aca="false">MIN(G44*(1+Допущения!$D$33),Допущения!$D$34)</f>
        <v>2500000</v>
      </c>
      <c r="H45" s="25" t="n">
        <f aca="false">MIN(Допущения!$D$30,G45/Допущения!$D$29)</f>
        <v>300</v>
      </c>
      <c r="I45" s="25" t="n">
        <f aca="false">MAX(0,G45-H45*Допущения!$D$29)/Допущения!$D$31</f>
        <v>341.666666666667</v>
      </c>
      <c r="J45" s="25" t="n">
        <f aca="false">IF(A45&gt;=Допущения!$D$35,Допущения!$D$36,0)</f>
        <v>40</v>
      </c>
      <c r="K45" s="25" t="n">
        <f aca="false">H45+I45+J45</f>
        <v>681.666666666667</v>
      </c>
      <c r="L45" s="25" t="n">
        <f aca="false">(L44-K44)*(1-Допущения!$D$44)+K44*(1-Допущения!$D$43)+K45</f>
        <v>7409.0729858744</v>
      </c>
      <c r="M45" s="25" t="n">
        <f aca="false">IF(A45&gt;=Допущения!$D$38,Допущения!$D$73/Допущения!$D$42*MIN(Допущения!$D$42,A45-Допущения!$D$38+1),0)</f>
        <v>60</v>
      </c>
      <c r="N45" s="25" t="n">
        <f aca="false">N44*(1-Допущения!$D$45)+M45</f>
        <v>1459.57401415928</v>
      </c>
      <c r="O45" s="25" t="n">
        <f aca="false">L45+N45</f>
        <v>8868.64700003368</v>
      </c>
      <c r="P45" s="25" t="n">
        <f aca="false">L45*Допущения!$D$25</f>
        <v>1852.2682464686</v>
      </c>
      <c r="Q45" s="25" t="n">
        <f aca="false">L45*(1-Допущения!$D$25)+N45</f>
        <v>7016.37875356508</v>
      </c>
      <c r="R45" s="17" t="n">
        <f aca="false">MAX(Допущения!$D$18,ROUNDUP(Q45/Допущения!$D$68+P45/Допущения!$D$69,0))</f>
        <v>91</v>
      </c>
      <c r="S45" s="17" t="n">
        <f aca="false">ROUNDUP(R45/Допущения!$D$48,0)</f>
        <v>8</v>
      </c>
      <c r="T45" s="17" t="n">
        <f aca="false">L45*F45/(1+Допущения!$D$6)</f>
        <v>22062279.120015</v>
      </c>
      <c r="U45" s="17" t="n">
        <f aca="false">N45*Допущения!$D$28*E45/(1+Допущения!$D$6)</f>
        <v>2916558.56456162</v>
      </c>
      <c r="V45" s="17" t="n">
        <f aca="false">O45*Допущения!$D$26*Допущения!$D$27/(1+Допущения!$D$6)</f>
        <v>1090407.41803693</v>
      </c>
      <c r="W45" s="17" t="n">
        <f aca="false">T45+U45+V45</f>
        <v>26069245.1026136</v>
      </c>
      <c r="X45" s="17" t="n">
        <f aca="false">J45*Допущения!$D$37</f>
        <v>20000</v>
      </c>
      <c r="Y45" s="17" t="n">
        <f aca="false">(R45*Допущения!$D$47+S45*Допущения!$D$49)*D45*Допущения!$D$9</f>
        <v>11891051.424</v>
      </c>
      <c r="Z45" s="17" t="n">
        <f aca="false">(MAX(0,R45-R44)+R45*Допущения!$D$50/12)*Допущения!$D$51*D45</f>
        <v>288788.976</v>
      </c>
      <c r="AA45" s="17" t="n">
        <f aca="false">O45*(Допущения!$D$53+Допущения!$D$54)+(L45*F45+N45*Допущения!$D$28*E45)*Допущения!$D$13</f>
        <v>3785591.4305656</v>
      </c>
      <c r="AB45" s="17" t="n">
        <f aca="false">(R45+S45)*Допущения!$D$52</f>
        <v>267300</v>
      </c>
      <c r="AC45" s="17" t="n">
        <f aca="false">SUMPRODUCT(Допущения!$B$84:$B$91,Допущения!$C$84:$C$91,--(Допущения!$D$84:$D$91&lt;=A45))*D45*Допущения!$D$9</f>
        <v>2476618.98624</v>
      </c>
      <c r="AD45" s="17" t="n">
        <f aca="false">(AC45+Y45)*Допущения!$D$14</f>
        <v>1436767.041024</v>
      </c>
      <c r="AE45" s="17" t="n">
        <f aca="false">Допущения!$D$55+Допущения!$D$56*O45/1000+Допущения!$D$57</f>
        <v>210949.176000269</v>
      </c>
      <c r="AF45" s="17" t="n">
        <f aca="false">SUMIF(Допущения!$B$95:$B$103,A45,Допущения!$C$95:$C$103)</f>
        <v>0</v>
      </c>
      <c r="AG45" s="17" t="n">
        <v>0</v>
      </c>
      <c r="AH45" s="17" t="n">
        <f aca="false">G45+SUM(X45:AG45)</f>
        <v>22877067.0338299</v>
      </c>
      <c r="AI45" s="17" t="n">
        <f aca="false">W45-AH45</f>
        <v>3192178.06878372</v>
      </c>
      <c r="AJ45" s="17" t="n">
        <f aca="false">AJ44+AI45</f>
        <v>-8940331.05380613</v>
      </c>
      <c r="AK45" s="17" t="n">
        <f aca="false">O45*Допущения!$D$58*Допущения!$D$59</f>
        <v>292665.351001111</v>
      </c>
      <c r="AL45" s="17" t="n">
        <f aca="false">T45*Допущения!$D$72</f>
        <v>1112383.82117723</v>
      </c>
      <c r="AM45" s="17" t="n">
        <f aca="false">IF(MOD(A45,12)=0,INDEX($F$70:$F$74,B45),0)</f>
        <v>0</v>
      </c>
      <c r="AN45" s="17" t="n">
        <f aca="false">AI45-AM45</f>
        <v>3192178.06878372</v>
      </c>
      <c r="AO45" s="26" t="n">
        <f aca="false">1/(1+Допущения!$D$74)^A45</f>
        <v>0.515387519712614</v>
      </c>
      <c r="AP45" s="21" t="n">
        <f aca="false">IF(AND(A45&gt;Допущения!$D$19,MIN(AI45:AI$65)&gt;0),A45,"")</f>
        <v>40</v>
      </c>
      <c r="AQ45" s="21" t="str">
        <f aca="false">IF(MIN(AJ45:AJ$65)&gt;0,A45,"")</f>
        <v/>
      </c>
    </row>
    <row r="46" customFormat="false" ht="15" hidden="false" customHeight="false" outlineLevel="0" collapsed="false">
      <c r="A46" s="28" t="n">
        <v>41</v>
      </c>
      <c r="B46" s="28" t="n">
        <f aca="false">INT((A46-1)/12)+1</f>
        <v>4</v>
      </c>
      <c r="C46" s="12" t="s">
        <v>462</v>
      </c>
      <c r="D46" s="15" t="n">
        <f aca="false">(1+Допущения!$D$11)^(B46-1)</f>
        <v>1.259712</v>
      </c>
      <c r="E46" s="15" t="n">
        <f aca="false">(1+Допущения!$D$12)^(B46-1)</f>
        <v>1.225043</v>
      </c>
      <c r="F46" s="17" t="n">
        <f aca="false">Допущения!$D$71*E46</f>
        <v>3632.84051564</v>
      </c>
      <c r="G46" s="17" t="n">
        <f aca="false">MIN(G45*(1+Допущения!$D$33),Допущения!$D$34)</f>
        <v>2500000</v>
      </c>
      <c r="H46" s="25" t="n">
        <f aca="false">MIN(Допущения!$D$30,G46/Допущения!$D$29)</f>
        <v>300</v>
      </c>
      <c r="I46" s="25" t="n">
        <f aca="false">MAX(0,G46-H46*Допущения!$D$29)/Допущения!$D$31</f>
        <v>341.666666666667</v>
      </c>
      <c r="J46" s="25" t="n">
        <f aca="false">IF(A46&gt;=Допущения!$D$35,Допущения!$D$36,0)</f>
        <v>40</v>
      </c>
      <c r="K46" s="25" t="n">
        <f aca="false">H46+I46+J46</f>
        <v>681.666666666667</v>
      </c>
      <c r="L46" s="25" t="n">
        <f aca="false">(L45-K45)*(1-Допущения!$D$44)+K45*(1-Допущения!$D$43)+K46</f>
        <v>7516.67860672193</v>
      </c>
      <c r="M46" s="25" t="n">
        <f aca="false">IF(A46&gt;=Допущения!$D$38,Допущения!$D$73/Допущения!$D$42*MIN(Допущения!$D$42,A46-Допущения!$D$38+1),0)</f>
        <v>60</v>
      </c>
      <c r="N46" s="25" t="n">
        <f aca="false">N45*(1-Допущения!$D$45)+M46</f>
        <v>1490.3825338761</v>
      </c>
      <c r="O46" s="25" t="n">
        <f aca="false">L46+N46</f>
        <v>9007.06114059803</v>
      </c>
      <c r="P46" s="25" t="n">
        <f aca="false">L46*Допущения!$D$25</f>
        <v>1879.16965168048</v>
      </c>
      <c r="Q46" s="25" t="n">
        <f aca="false">L46*(1-Допущения!$D$25)+N46</f>
        <v>7127.89148891755</v>
      </c>
      <c r="R46" s="17" t="n">
        <f aca="false">MAX(Допущения!$D$18,ROUNDUP(Q46/Допущения!$D$68+P46/Допущения!$D$69,0))</f>
        <v>93</v>
      </c>
      <c r="S46" s="17" t="n">
        <f aca="false">ROUNDUP(R46/Допущения!$D$48,0)</f>
        <v>8</v>
      </c>
      <c r="T46" s="17" t="n">
        <f aca="false">L46*F46/(1+Допущения!$D$6)</f>
        <v>22382700.479954</v>
      </c>
      <c r="U46" s="17" t="n">
        <f aca="false">N46*Допущения!$D$28*E46/(1+Допущения!$D$6)</f>
        <v>2978120.94589334</v>
      </c>
      <c r="V46" s="17" t="n">
        <f aca="false">O46*Допущения!$D$26*Допущения!$D$27/(1+Допущения!$D$6)</f>
        <v>1107425.55007353</v>
      </c>
      <c r="W46" s="17" t="n">
        <f aca="false">T46+U46+V46</f>
        <v>26468246.9759209</v>
      </c>
      <c r="X46" s="17" t="n">
        <f aca="false">J46*Допущения!$D$37</f>
        <v>20000</v>
      </c>
      <c r="Y46" s="17" t="n">
        <f aca="false">(R46*Допущения!$D$47+S46*Допущения!$D$49)*D46*Допущения!$D$9</f>
        <v>12120671.72736</v>
      </c>
      <c r="Z46" s="17" t="n">
        <f aca="false">(MAX(0,R46-R45)+R46*Допущения!$D$50/12)*Допущения!$D$51*D46</f>
        <v>381377.808</v>
      </c>
      <c r="AA46" s="17" t="n">
        <f aca="false">O46*(Допущения!$D$53+Допущения!$D$54)+(L46*F46+N46*Допущения!$D$28*E46)*Допущения!$D$13</f>
        <v>3844500.95482989</v>
      </c>
      <c r="AB46" s="17" t="n">
        <f aca="false">(R46+S46)*Допущения!$D$52</f>
        <v>272700</v>
      </c>
      <c r="AC46" s="17" t="n">
        <f aca="false">SUMPRODUCT(Допущения!$B$84:$B$91,Допущения!$C$84:$C$91,--(Допущения!$D$84:$D$91&lt;=A46))*D46*Допущения!$D$9</f>
        <v>2476618.98624</v>
      </c>
      <c r="AD46" s="17" t="n">
        <f aca="false">(AC46+Y46)*Допущения!$D$14</f>
        <v>1459729.07136</v>
      </c>
      <c r="AE46" s="17" t="n">
        <f aca="false">Допущения!$D$55+Допущения!$D$56*O46/1000+Допущения!$D$57</f>
        <v>212056.489124784</v>
      </c>
      <c r="AF46" s="17" t="n">
        <f aca="false">SUMIF(Допущения!$B$95:$B$103,A46,Допущения!$C$95:$C$103)</f>
        <v>0</v>
      </c>
      <c r="AG46" s="17" t="n">
        <v>0</v>
      </c>
      <c r="AH46" s="17" t="n">
        <f aca="false">G46+SUM(X46:AG46)</f>
        <v>23287655.0369147</v>
      </c>
      <c r="AI46" s="17" t="n">
        <f aca="false">W46-AH46</f>
        <v>3180591.93900618</v>
      </c>
      <c r="AJ46" s="17" t="n">
        <f aca="false">AJ45+AI46</f>
        <v>-5759739.11479995</v>
      </c>
      <c r="AK46" s="17" t="n">
        <f aca="false">O46*Допущения!$D$58*Допущения!$D$59</f>
        <v>297233.017639735</v>
      </c>
      <c r="AL46" s="17" t="n">
        <f aca="false">T46*Допущения!$D$72</f>
        <v>1128539.51999768</v>
      </c>
      <c r="AM46" s="17" t="n">
        <f aca="false">IF(MOD(A46,12)=0,INDEX($F$70:$F$74,B46),0)</f>
        <v>0</v>
      </c>
      <c r="AN46" s="17" t="n">
        <f aca="false">AI46-AM46</f>
        <v>3180591.93900618</v>
      </c>
      <c r="AO46" s="26" t="n">
        <f aca="false">1/(1+Допущения!$D$74)^A46</f>
        <v>0.506917454282353</v>
      </c>
      <c r="AP46" s="21" t="n">
        <f aca="false">IF(AND(A46&gt;Допущения!$D$19,MIN(AI46:AI$65)&gt;0),A46,"")</f>
        <v>41</v>
      </c>
      <c r="AQ46" s="21" t="str">
        <f aca="false">IF(MIN(AJ46:AJ$65)&gt;0,A46,"")</f>
        <v/>
      </c>
    </row>
    <row r="47" customFormat="false" ht="15" hidden="false" customHeight="false" outlineLevel="0" collapsed="false">
      <c r="A47" s="28" t="n">
        <v>42</v>
      </c>
      <c r="B47" s="28" t="n">
        <f aca="false">INT((A47-1)/12)+1</f>
        <v>4</v>
      </c>
      <c r="C47" s="12" t="s">
        <v>462</v>
      </c>
      <c r="D47" s="15" t="n">
        <f aca="false">(1+Допущения!$D$11)^(B47-1)</f>
        <v>1.259712</v>
      </c>
      <c r="E47" s="15" t="n">
        <f aca="false">(1+Допущения!$D$12)^(B47-1)</f>
        <v>1.225043</v>
      </c>
      <c r="F47" s="17" t="n">
        <f aca="false">Допущения!$D$71*E47</f>
        <v>3632.84051564</v>
      </c>
      <c r="G47" s="17" t="n">
        <f aca="false">MIN(G46*(1+Допущения!$D$33),Допущения!$D$34)</f>
        <v>2500000</v>
      </c>
      <c r="H47" s="25" t="n">
        <f aca="false">MIN(Допущения!$D$30,G47/Допущения!$D$29)</f>
        <v>300</v>
      </c>
      <c r="I47" s="25" t="n">
        <f aca="false">MAX(0,G47-H47*Допущения!$D$29)/Допущения!$D$31</f>
        <v>341.666666666667</v>
      </c>
      <c r="J47" s="25" t="n">
        <f aca="false">IF(A47&gt;=Допущения!$D$35,Допущения!$D$36,0)</f>
        <v>40</v>
      </c>
      <c r="K47" s="25" t="n">
        <f aca="false">H47+I47+J47</f>
        <v>681.666666666667</v>
      </c>
      <c r="L47" s="25" t="n">
        <f aca="false">(L46-K46)*(1-Допущения!$D$44)+K46*(1-Допущения!$D$43)+K47</f>
        <v>7617.82789031862</v>
      </c>
      <c r="M47" s="25" t="n">
        <f aca="false">IF(A47&gt;=Допущения!$D$38,Допущения!$D$73/Допущения!$D$42*MIN(Допущения!$D$42,A47-Допущения!$D$38+1),0)</f>
        <v>60</v>
      </c>
      <c r="N47" s="25" t="n">
        <f aca="false">N46*(1-Допущения!$D$45)+M47</f>
        <v>1520.57488319857</v>
      </c>
      <c r="O47" s="25" t="n">
        <f aca="false">L47+N47</f>
        <v>9138.40277351719</v>
      </c>
      <c r="P47" s="25" t="n">
        <f aca="false">L47*Допущения!$D$25</f>
        <v>1904.45697257965</v>
      </c>
      <c r="Q47" s="25" t="n">
        <f aca="false">L47*(1-Допущения!$D$25)+N47</f>
        <v>7233.94580093754</v>
      </c>
      <c r="R47" s="17" t="n">
        <f aca="false">MAX(Допущения!$D$18,ROUNDUP(Q47/Допущения!$D$68+P47/Допущения!$D$69,0))</f>
        <v>94</v>
      </c>
      <c r="S47" s="17" t="n">
        <f aca="false">ROUNDUP(R47/Допущения!$D$48,0)</f>
        <v>8</v>
      </c>
      <c r="T47" s="17" t="n">
        <f aca="false">L47*F47/(1+Допущения!$D$6)</f>
        <v>22683896.5582966</v>
      </c>
      <c r="U47" s="17" t="n">
        <f aca="false">N47*Допущения!$D$28*E47/(1+Допущения!$D$6)</f>
        <v>3038452.07959843</v>
      </c>
      <c r="V47" s="17" t="n">
        <f aca="false">O47*Допущения!$D$26*Допущения!$D$27/(1+Допущения!$D$6)</f>
        <v>1123574.11149802</v>
      </c>
      <c r="W47" s="17" t="n">
        <f aca="false">T47+U47+V47</f>
        <v>26845922.7493931</v>
      </c>
      <c r="X47" s="17" t="n">
        <f aca="false">J47*Допущения!$D$37</f>
        <v>20000</v>
      </c>
      <c r="Y47" s="17" t="n">
        <f aca="false">(R47*Допущения!$D$47+S47*Допущения!$D$49)*D47*Допущения!$D$9</f>
        <v>12235481.87904</v>
      </c>
      <c r="Z47" s="17" t="n">
        <f aca="false">(MAX(0,R47-R46)+R47*Допущения!$D$50/12)*Допущения!$D$51*D47</f>
        <v>295402.464</v>
      </c>
      <c r="AA47" s="17" t="n">
        <f aca="false">O47*(Допущения!$D$53+Допущения!$D$54)+(L47*F47+N47*Допущения!$D$28*E47)*Допущения!$D$13</f>
        <v>3900379.78842195</v>
      </c>
      <c r="AB47" s="17" t="n">
        <f aca="false">(R47+S47)*Допущения!$D$52</f>
        <v>275400</v>
      </c>
      <c r="AC47" s="17" t="n">
        <f aca="false">SUMPRODUCT(Допущения!$B$84:$B$91,Допущения!$C$84:$C$91,--(Допущения!$D$84:$D$91&lt;=A47))*D47*Допущения!$D$9</f>
        <v>2476618.98624</v>
      </c>
      <c r="AD47" s="17" t="n">
        <f aca="false">(AC47+Y47)*Допущения!$D$14</f>
        <v>1471210.086528</v>
      </c>
      <c r="AE47" s="17" t="n">
        <f aca="false">Допущения!$D$55+Допущения!$D$56*O47/1000+Допущения!$D$57</f>
        <v>213107.222188138</v>
      </c>
      <c r="AF47" s="17" t="n">
        <f aca="false">SUMIF(Допущения!$B$95:$B$103,A47,Допущения!$C$95:$C$103)</f>
        <v>0</v>
      </c>
      <c r="AG47" s="17" t="n">
        <v>0</v>
      </c>
      <c r="AH47" s="17" t="n">
        <f aca="false">G47+SUM(X47:AG47)</f>
        <v>23387600.4264181</v>
      </c>
      <c r="AI47" s="17" t="n">
        <f aca="false">W47-AH47</f>
        <v>3458322.32297496</v>
      </c>
      <c r="AJ47" s="17" t="n">
        <f aca="false">AJ46+AI47</f>
        <v>-2301416.79182499</v>
      </c>
      <c r="AK47" s="17" t="n">
        <f aca="false">O47*Допущения!$D$58*Допущения!$D$59</f>
        <v>301567.291526067</v>
      </c>
      <c r="AL47" s="17" t="n">
        <f aca="false">T47*Допущения!$D$72</f>
        <v>1143725.8768889</v>
      </c>
      <c r="AM47" s="17" t="n">
        <f aca="false">IF(MOD(A47,12)=0,INDEX($F$70:$F$74,B47),0)</f>
        <v>0</v>
      </c>
      <c r="AN47" s="17" t="n">
        <f aca="false">AI47-AM47</f>
        <v>3458322.32297496</v>
      </c>
      <c r="AO47" s="26" t="n">
        <f aca="false">1/(1+Допущения!$D$74)^A47</f>
        <v>0.498586588979468</v>
      </c>
      <c r="AP47" s="21" t="n">
        <f aca="false">IF(AND(A47&gt;Допущения!$D$19,MIN(AI47:AI$65)&gt;0),A47,"")</f>
        <v>42</v>
      </c>
      <c r="AQ47" s="21" t="str">
        <f aca="false">IF(MIN(AJ47:AJ$65)&gt;0,A47,"")</f>
        <v/>
      </c>
    </row>
    <row r="48" customFormat="false" ht="15" hidden="false" customHeight="false" outlineLevel="0" collapsed="false">
      <c r="A48" s="28" t="n">
        <v>43</v>
      </c>
      <c r="B48" s="28" t="n">
        <f aca="false">INT((A48-1)/12)+1</f>
        <v>4</v>
      </c>
      <c r="C48" s="12" t="s">
        <v>462</v>
      </c>
      <c r="D48" s="15" t="n">
        <f aca="false">(1+Допущения!$D$11)^(B48-1)</f>
        <v>1.259712</v>
      </c>
      <c r="E48" s="15" t="n">
        <f aca="false">(1+Допущения!$D$12)^(B48-1)</f>
        <v>1.225043</v>
      </c>
      <c r="F48" s="17" t="n">
        <f aca="false">Допущения!$D$71*E48</f>
        <v>3632.84051564</v>
      </c>
      <c r="G48" s="17" t="n">
        <f aca="false">MIN(G47*(1+Допущения!$D$33),Допущения!$D$34)</f>
        <v>2500000</v>
      </c>
      <c r="H48" s="25" t="n">
        <f aca="false">MIN(Допущения!$D$30,G48/Допущения!$D$29)</f>
        <v>300</v>
      </c>
      <c r="I48" s="25" t="n">
        <f aca="false">MAX(0,G48-H48*Допущения!$D$29)/Допущения!$D$31</f>
        <v>341.666666666667</v>
      </c>
      <c r="J48" s="25" t="n">
        <f aca="false">IF(A48&gt;=Допущения!$D$35,Допущения!$D$36,0)</f>
        <v>40</v>
      </c>
      <c r="K48" s="25" t="n">
        <f aca="false">H48+I48+J48</f>
        <v>681.666666666667</v>
      </c>
      <c r="L48" s="25" t="n">
        <f aca="false">(L47-K47)*(1-Допущения!$D$44)+K47*(1-Допущения!$D$43)+K48</f>
        <v>7712.9082168995</v>
      </c>
      <c r="M48" s="25" t="n">
        <f aca="false">IF(A48&gt;=Допущения!$D$38,Допущения!$D$73/Допущения!$D$42*MIN(Допущения!$D$42,A48-Допущения!$D$38+1),0)</f>
        <v>60</v>
      </c>
      <c r="N48" s="25" t="n">
        <f aca="false">N47*(1-Допущения!$D$45)+M48</f>
        <v>1550.1633855346</v>
      </c>
      <c r="O48" s="25" t="n">
        <f aca="false">L48+N48</f>
        <v>9263.0716024341</v>
      </c>
      <c r="P48" s="25" t="n">
        <f aca="false">L48*Допущения!$D$25</f>
        <v>1928.22705422488</v>
      </c>
      <c r="Q48" s="25" t="n">
        <f aca="false">L48*(1-Допущения!$D$25)+N48</f>
        <v>7334.84454820923</v>
      </c>
      <c r="R48" s="17" t="n">
        <f aca="false">MAX(Допущения!$D$18,ROUNDUP(Q48/Допущения!$D$68+P48/Допущения!$D$69,0))</f>
        <v>95</v>
      </c>
      <c r="S48" s="17" t="n">
        <f aca="false">ROUNDUP(R48/Допущения!$D$48,0)</f>
        <v>8</v>
      </c>
      <c r="T48" s="17" t="n">
        <f aca="false">L48*F48/(1+Допущения!$D$6)</f>
        <v>22967020.8719387</v>
      </c>
      <c r="U48" s="17" t="n">
        <f aca="false">N48*Допущения!$D$28*E48/(1+Допущения!$D$6)</f>
        <v>3097576.59062941</v>
      </c>
      <c r="V48" s="17" t="n">
        <f aca="false">O48*Допущения!$D$26*Допущения!$D$27/(1+Допущения!$D$6)</f>
        <v>1138902.24620091</v>
      </c>
      <c r="W48" s="17" t="n">
        <f aca="false">T48+U48+V48</f>
        <v>27203499.708769</v>
      </c>
      <c r="X48" s="17" t="n">
        <f aca="false">J48*Допущения!$D$37</f>
        <v>20000</v>
      </c>
      <c r="Y48" s="17" t="n">
        <f aca="false">(R48*Допущения!$D$47+S48*Допущения!$D$49)*D48*Допущения!$D$9</f>
        <v>12350292.03072</v>
      </c>
      <c r="Z48" s="17" t="n">
        <f aca="false">(MAX(0,R48-R47)+R48*Допущения!$D$50/12)*Допущения!$D$51*D48</f>
        <v>297606.96</v>
      </c>
      <c r="AA48" s="17" t="n">
        <f aca="false">O48*(Допущения!$D$53+Допущения!$D$54)+(L48*F48+N48*Допущения!$D$28*E48)*Допущения!$D$13</f>
        <v>3953399.69516644</v>
      </c>
      <c r="AB48" s="17" t="n">
        <f aca="false">(R48+S48)*Допущения!$D$52</f>
        <v>278100</v>
      </c>
      <c r="AC48" s="17" t="n">
        <f aca="false">SUMPRODUCT(Допущения!$B$84:$B$91,Допущения!$C$84:$C$91,--(Допущения!$D$84:$D$91&lt;=A48))*D48*Допущения!$D$9</f>
        <v>2476618.98624</v>
      </c>
      <c r="AD48" s="17" t="n">
        <f aca="false">(AC48+Y48)*Допущения!$D$14</f>
        <v>1482691.101696</v>
      </c>
      <c r="AE48" s="17" t="n">
        <f aca="false">Допущения!$D$55+Допущения!$D$56*O48/1000+Допущения!$D$57</f>
        <v>214104.572819473</v>
      </c>
      <c r="AF48" s="17" t="n">
        <f aca="false">SUMIF(Допущения!$B$95:$B$103,A48,Допущения!$C$95:$C$103)</f>
        <v>0</v>
      </c>
      <c r="AG48" s="17" t="n">
        <v>0</v>
      </c>
      <c r="AH48" s="17" t="n">
        <f aca="false">G48+SUM(X48:AG48)</f>
        <v>23572813.3466419</v>
      </c>
      <c r="AI48" s="17" t="n">
        <f aca="false">W48-AH48</f>
        <v>3630686.36212707</v>
      </c>
      <c r="AJ48" s="17" t="n">
        <f aca="false">AJ47+AI48</f>
        <v>1329269.57030208</v>
      </c>
      <c r="AK48" s="17" t="n">
        <f aca="false">O48*Допущения!$D$58*Допущения!$D$59</f>
        <v>305681.362880325</v>
      </c>
      <c r="AL48" s="17" t="n">
        <f aca="false">T48*Допущения!$D$72</f>
        <v>1158001.05236666</v>
      </c>
      <c r="AM48" s="17" t="n">
        <f aca="false">IF(MOD(A48,12)=0,INDEX($F$70:$F$74,B48),0)</f>
        <v>0</v>
      </c>
      <c r="AN48" s="17" t="n">
        <f aca="false">AI48-AM48</f>
        <v>3630686.36212707</v>
      </c>
      <c r="AO48" s="26" t="n">
        <f aca="false">1/(1+Допущения!$D$74)^A48</f>
        <v>0.490392636138581</v>
      </c>
      <c r="AP48" s="21" t="n">
        <f aca="false">IF(AND(A48&gt;Допущения!$D$19,MIN(AI48:AI$65)&gt;0),A48,"")</f>
        <v>43</v>
      </c>
      <c r="AQ48" s="21" t="n">
        <f aca="false">IF(MIN(AJ48:AJ$65)&gt;0,A48,"")</f>
        <v>43</v>
      </c>
    </row>
    <row r="49" customFormat="false" ht="15" hidden="false" customHeight="false" outlineLevel="0" collapsed="false">
      <c r="A49" s="28" t="n">
        <v>44</v>
      </c>
      <c r="B49" s="28" t="n">
        <f aca="false">INT((A49-1)/12)+1</f>
        <v>4</v>
      </c>
      <c r="C49" s="12" t="s">
        <v>462</v>
      </c>
      <c r="D49" s="15" t="n">
        <f aca="false">(1+Допущения!$D$11)^(B49-1)</f>
        <v>1.259712</v>
      </c>
      <c r="E49" s="15" t="n">
        <f aca="false">(1+Допущения!$D$12)^(B49-1)</f>
        <v>1.225043</v>
      </c>
      <c r="F49" s="17" t="n">
        <f aca="false">Допущения!$D$71*E49</f>
        <v>3632.84051564</v>
      </c>
      <c r="G49" s="17" t="n">
        <f aca="false">MIN(G48*(1+Допущения!$D$33),Допущения!$D$34)</f>
        <v>2500000</v>
      </c>
      <c r="H49" s="25" t="n">
        <f aca="false">MIN(Допущения!$D$30,G49/Допущения!$D$29)</f>
        <v>300</v>
      </c>
      <c r="I49" s="25" t="n">
        <f aca="false">MAX(0,G49-H49*Допущения!$D$29)/Допущения!$D$31</f>
        <v>341.666666666667</v>
      </c>
      <c r="J49" s="25" t="n">
        <f aca="false">IF(A49&gt;=Допущения!$D$35,Допущения!$D$36,0)</f>
        <v>40</v>
      </c>
      <c r="K49" s="25" t="n">
        <f aca="false">H49+I49+J49</f>
        <v>681.666666666667</v>
      </c>
      <c r="L49" s="25" t="n">
        <f aca="false">(L48-K48)*(1-Допущения!$D$44)+K48*(1-Допущения!$D$43)+K49</f>
        <v>7802.28372388553</v>
      </c>
      <c r="M49" s="25" t="n">
        <f aca="false">IF(A49&gt;=Допущения!$D$38,Допущения!$D$73/Допущения!$D$42*MIN(Допущения!$D$42,A49-Допущения!$D$38+1),0)</f>
        <v>60</v>
      </c>
      <c r="N49" s="25" t="n">
        <f aca="false">N48*(1-Допущения!$D$45)+M49</f>
        <v>1579.16011782391</v>
      </c>
      <c r="O49" s="25" t="n">
        <f aca="false">L49+N49</f>
        <v>9381.44384170944</v>
      </c>
      <c r="P49" s="25" t="n">
        <f aca="false">L49*Допущения!$D$25</f>
        <v>1950.57093097138</v>
      </c>
      <c r="Q49" s="25" t="n">
        <f aca="false">L49*(1-Допущения!$D$25)+N49</f>
        <v>7430.87291073806</v>
      </c>
      <c r="R49" s="17" t="n">
        <f aca="false">MAX(Допущения!$D$18,ROUNDUP(Q49/Допущения!$D$68+P49/Допущения!$D$69,0))</f>
        <v>96</v>
      </c>
      <c r="S49" s="17" t="n">
        <f aca="false">ROUNDUP(R49/Допущения!$D$48,0)</f>
        <v>8</v>
      </c>
      <c r="T49" s="17" t="n">
        <f aca="false">L49*F49/(1+Допущения!$D$6)</f>
        <v>23233157.7267622</v>
      </c>
      <c r="U49" s="17" t="n">
        <f aca="false">N49*Допущения!$D$28*E49/(1+Допущения!$D$6)</f>
        <v>3155518.61143977</v>
      </c>
      <c r="V49" s="17" t="n">
        <f aca="false">O49*Допущения!$D$26*Допущения!$D$27/(1+Допущения!$D$6)</f>
        <v>1153456.21004624</v>
      </c>
      <c r="W49" s="17" t="n">
        <f aca="false">T49+U49+V49</f>
        <v>27542132.5482482</v>
      </c>
      <c r="X49" s="17" t="n">
        <f aca="false">J49*Допущения!$D$37</f>
        <v>20000</v>
      </c>
      <c r="Y49" s="17" t="n">
        <f aca="false">(R49*Допущения!$D$47+S49*Допущения!$D$49)*D49*Допущения!$D$9</f>
        <v>12465102.1824</v>
      </c>
      <c r="Z49" s="17" t="n">
        <f aca="false">(MAX(0,R49-R48)+R49*Допущения!$D$50/12)*Допущения!$D$51*D49</f>
        <v>299811.456</v>
      </c>
      <c r="AA49" s="17" t="n">
        <f aca="false">O49*(Допущения!$D$53+Допущения!$D$54)+(L49*F49+N49*Допущения!$D$28*E49)*Допущения!$D$13</f>
        <v>4003722.33461086</v>
      </c>
      <c r="AB49" s="17" t="n">
        <f aca="false">(R49+S49)*Допущения!$D$52</f>
        <v>280800</v>
      </c>
      <c r="AC49" s="17" t="n">
        <f aca="false">SUMPRODUCT(Допущения!$B$84:$B$91,Допущения!$C$84:$C$91,--(Допущения!$D$84:$D$91&lt;=A49))*D49*Допущения!$D$9</f>
        <v>2476618.98624</v>
      </c>
      <c r="AD49" s="17" t="n">
        <f aca="false">(AC49+Y49)*Допущения!$D$14</f>
        <v>1494172.116864</v>
      </c>
      <c r="AE49" s="17" t="n">
        <f aca="false">Допущения!$D$55+Допущения!$D$56*O49/1000+Допущения!$D$57</f>
        <v>215051.550733676</v>
      </c>
      <c r="AF49" s="17" t="n">
        <f aca="false">SUMIF(Допущения!$B$95:$B$103,A49,Допущения!$C$95:$C$103)</f>
        <v>0</v>
      </c>
      <c r="AG49" s="17" t="n">
        <v>0</v>
      </c>
      <c r="AH49" s="17" t="n">
        <f aca="false">G49+SUM(X49:AG49)</f>
        <v>23755278.6268485</v>
      </c>
      <c r="AI49" s="17" t="n">
        <f aca="false">W49-AH49</f>
        <v>3786853.92139968</v>
      </c>
      <c r="AJ49" s="17" t="n">
        <f aca="false">AJ48+AI49</f>
        <v>5116123.49170176</v>
      </c>
      <c r="AK49" s="17" t="n">
        <f aca="false">O49*Допущения!$D$58*Допущения!$D$59</f>
        <v>309587.646776412</v>
      </c>
      <c r="AL49" s="17" t="n">
        <f aca="false">T49*Допущения!$D$72</f>
        <v>1171419.71731574</v>
      </c>
      <c r="AM49" s="17" t="n">
        <f aca="false">IF(MOD(A49,12)=0,INDEX($F$70:$F$74,B49),0)</f>
        <v>0</v>
      </c>
      <c r="AN49" s="17" t="n">
        <f aca="false">AI49-AM49</f>
        <v>3786853.92139968</v>
      </c>
      <c r="AO49" s="26" t="n">
        <f aca="false">1/(1+Допущения!$D$74)^A49</f>
        <v>0.482333345690631</v>
      </c>
      <c r="AP49" s="21" t="n">
        <f aca="false">IF(AND(A49&gt;Допущения!$D$19,MIN(AI49:AI$65)&gt;0),A49,"")</f>
        <v>44</v>
      </c>
      <c r="AQ49" s="21" t="n">
        <f aca="false">IF(MIN(AJ49:AJ$65)&gt;0,A49,"")</f>
        <v>44</v>
      </c>
    </row>
    <row r="50" customFormat="false" ht="15" hidden="false" customHeight="false" outlineLevel="0" collapsed="false">
      <c r="A50" s="28" t="n">
        <v>45</v>
      </c>
      <c r="B50" s="28" t="n">
        <f aca="false">INT((A50-1)/12)+1</f>
        <v>4</v>
      </c>
      <c r="C50" s="12" t="s">
        <v>462</v>
      </c>
      <c r="D50" s="15" t="n">
        <f aca="false">(1+Допущения!$D$11)^(B50-1)</f>
        <v>1.259712</v>
      </c>
      <c r="E50" s="15" t="n">
        <f aca="false">(1+Допущения!$D$12)^(B50-1)</f>
        <v>1.225043</v>
      </c>
      <c r="F50" s="17" t="n">
        <f aca="false">Допущения!$D$71*E50</f>
        <v>3632.84051564</v>
      </c>
      <c r="G50" s="17" t="n">
        <f aca="false">MIN(G49*(1+Допущения!$D$33),Допущения!$D$34)</f>
        <v>2500000</v>
      </c>
      <c r="H50" s="25" t="n">
        <f aca="false">MIN(Допущения!$D$30,G50/Допущения!$D$29)</f>
        <v>300</v>
      </c>
      <c r="I50" s="25" t="n">
        <f aca="false">MAX(0,G50-H50*Допущения!$D$29)/Допущения!$D$31</f>
        <v>341.666666666667</v>
      </c>
      <c r="J50" s="25" t="n">
        <f aca="false">IF(A50&gt;=Допущения!$D$35,Допущения!$D$36,0)</f>
        <v>40</v>
      </c>
      <c r="K50" s="25" t="n">
        <f aca="false">H50+I50+J50</f>
        <v>681.666666666667</v>
      </c>
      <c r="L50" s="25" t="n">
        <f aca="false">(L49-K49)*(1-Допущения!$D$44)+K49*(1-Допущения!$D$43)+K50</f>
        <v>7886.2967004524</v>
      </c>
      <c r="M50" s="25" t="n">
        <f aca="false">IF(A50&gt;=Допущения!$D$38,Допущения!$D$73/Допущения!$D$42*MIN(Допущения!$D$42,A50-Допущения!$D$38+1),0)</f>
        <v>60</v>
      </c>
      <c r="N50" s="25" t="n">
        <f aca="false">N49*(1-Допущения!$D$45)+M50</f>
        <v>1607.57691546743</v>
      </c>
      <c r="O50" s="25" t="n">
        <f aca="false">L50+N50</f>
        <v>9493.87361591983</v>
      </c>
      <c r="P50" s="25" t="n">
        <f aca="false">L50*Допущения!$D$25</f>
        <v>1971.5741751131</v>
      </c>
      <c r="Q50" s="25" t="n">
        <f aca="false">L50*(1-Допущения!$D$25)+N50</f>
        <v>7522.29944080673</v>
      </c>
      <c r="R50" s="17" t="n">
        <f aca="false">MAX(Допущения!$D$18,ROUNDUP(Q50/Допущения!$D$68+P50/Допущения!$D$69,0))</f>
        <v>98</v>
      </c>
      <c r="S50" s="17" t="n">
        <f aca="false">ROUNDUP(R50/Допущения!$D$48,0)</f>
        <v>9</v>
      </c>
      <c r="T50" s="17" t="n">
        <f aca="false">L50*F50/(1+Допущения!$D$6)</f>
        <v>23483326.3702963</v>
      </c>
      <c r="U50" s="17" t="n">
        <f aca="false">N50*Допущения!$D$28*E50/(1+Допущения!$D$6)</f>
        <v>3212301.79183393</v>
      </c>
      <c r="V50" s="17" t="n">
        <f aca="false">O50*Допущения!$D$26*Допущения!$D$27/(1+Допущения!$D$6)</f>
        <v>1167279.54294096</v>
      </c>
      <c r="W50" s="17" t="n">
        <f aca="false">T50+U50+V50</f>
        <v>27862907.7050712</v>
      </c>
      <c r="X50" s="17" t="n">
        <f aca="false">J50*Допущения!$D$37</f>
        <v>20000</v>
      </c>
      <c r="Y50" s="17" t="n">
        <f aca="false">(R50*Допущения!$D$47+S50*Допущения!$D$49)*D50*Допущения!$D$9</f>
        <v>12875138.4384</v>
      </c>
      <c r="Z50" s="17" t="n">
        <f aca="false">(MAX(0,R50-R49)+R50*Допущения!$D$50/12)*Допущения!$D$51*D50</f>
        <v>392400.288</v>
      </c>
      <c r="AA50" s="17" t="n">
        <f aca="false">O50*(Допущения!$D$53+Допущения!$D$54)+(L50*F50+N50*Допущения!$D$28*E50)*Допущения!$D$13</f>
        <v>4051499.86425112</v>
      </c>
      <c r="AB50" s="17" t="n">
        <f aca="false">(R50+S50)*Допущения!$D$52</f>
        <v>288900</v>
      </c>
      <c r="AC50" s="17" t="n">
        <f aca="false">SUMPRODUCT(Допущения!$B$84:$B$91,Допущения!$C$84:$C$91,--(Допущения!$D$84:$D$91&lt;=A50))*D50*Допущения!$D$9</f>
        <v>2476618.98624</v>
      </c>
      <c r="AD50" s="17" t="n">
        <f aca="false">(AC50+Y50)*Допущения!$D$14</f>
        <v>1535175.742464</v>
      </c>
      <c r="AE50" s="17" t="n">
        <f aca="false">Допущения!$D$55+Допущения!$D$56*O50/1000+Допущения!$D$57</f>
        <v>215950.988927359</v>
      </c>
      <c r="AF50" s="17" t="n">
        <f aca="false">SUMIF(Допущения!$B$95:$B$103,A50,Допущения!$C$95:$C$103)</f>
        <v>0</v>
      </c>
      <c r="AG50" s="17" t="n">
        <v>0</v>
      </c>
      <c r="AH50" s="17" t="n">
        <f aca="false">G50+SUM(X50:AG50)</f>
        <v>24355684.3082825</v>
      </c>
      <c r="AI50" s="17" t="n">
        <f aca="false">W50-AH50</f>
        <v>3507223.39678874</v>
      </c>
      <c r="AJ50" s="17" t="n">
        <f aca="false">AJ49+AI50</f>
        <v>8623346.8884905</v>
      </c>
      <c r="AK50" s="17" t="n">
        <f aca="false">O50*Допущения!$D$58*Допущения!$D$59</f>
        <v>313297.829325354</v>
      </c>
      <c r="AL50" s="17" t="n">
        <f aca="false">T50*Допущения!$D$72</f>
        <v>1184033.26236788</v>
      </c>
      <c r="AM50" s="17" t="n">
        <f aca="false">IF(MOD(A50,12)=0,INDEX($F$70:$F$74,B50),0)</f>
        <v>0</v>
      </c>
      <c r="AN50" s="17" t="n">
        <f aca="false">AI50-AM50</f>
        <v>3507223.39678874</v>
      </c>
      <c r="AO50" s="26" t="n">
        <f aca="false">1/(1+Допущения!$D$74)^A50</f>
        <v>0.474406504545011</v>
      </c>
      <c r="AP50" s="21" t="n">
        <f aca="false">IF(AND(A50&gt;Допущения!$D$19,MIN(AI50:AI$65)&gt;0),A50,"")</f>
        <v>45</v>
      </c>
      <c r="AQ50" s="21" t="n">
        <f aca="false">IF(MIN(AJ50:AJ$65)&gt;0,A50,"")</f>
        <v>45</v>
      </c>
    </row>
    <row r="51" customFormat="false" ht="15" hidden="false" customHeight="false" outlineLevel="0" collapsed="false">
      <c r="A51" s="28" t="n">
        <v>46</v>
      </c>
      <c r="B51" s="28" t="n">
        <f aca="false">INT((A51-1)/12)+1</f>
        <v>4</v>
      </c>
      <c r="C51" s="12" t="s">
        <v>462</v>
      </c>
      <c r="D51" s="15" t="n">
        <f aca="false">(1+Допущения!$D$11)^(B51-1)</f>
        <v>1.259712</v>
      </c>
      <c r="E51" s="15" t="n">
        <f aca="false">(1+Допущения!$D$12)^(B51-1)</f>
        <v>1.225043</v>
      </c>
      <c r="F51" s="17" t="n">
        <f aca="false">Допущения!$D$71*E51</f>
        <v>3632.84051564</v>
      </c>
      <c r="G51" s="17" t="n">
        <f aca="false">MIN(G50*(1+Допущения!$D$33),Допущения!$D$34)</f>
        <v>2500000</v>
      </c>
      <c r="H51" s="25" t="n">
        <f aca="false">MIN(Допущения!$D$30,G51/Допущения!$D$29)</f>
        <v>300</v>
      </c>
      <c r="I51" s="25" t="n">
        <f aca="false">MAX(0,G51-H51*Допущения!$D$29)/Допущения!$D$31</f>
        <v>341.666666666667</v>
      </c>
      <c r="J51" s="25" t="n">
        <f aca="false">IF(A51&gt;=Допущения!$D$35,Допущения!$D$36,0)</f>
        <v>40</v>
      </c>
      <c r="K51" s="25" t="n">
        <f aca="false">H51+I51+J51</f>
        <v>681.666666666667</v>
      </c>
      <c r="L51" s="25" t="n">
        <f aca="false">(L50-K50)*(1-Допущения!$D$44)+K50*(1-Допущения!$D$43)+K51</f>
        <v>7965.26889842525</v>
      </c>
      <c r="M51" s="25" t="n">
        <f aca="false">IF(A51&gt;=Допущения!$D$38,Допущения!$D$73/Допущения!$D$42*MIN(Допущения!$D$42,A51-Допущения!$D$38+1),0)</f>
        <v>60</v>
      </c>
      <c r="N51" s="25" t="n">
        <f aca="false">N50*(1-Допущения!$D$45)+M51</f>
        <v>1635.42537715808</v>
      </c>
      <c r="O51" s="25" t="n">
        <f aca="false">L51+N51</f>
        <v>9600.69427558334</v>
      </c>
      <c r="P51" s="25" t="n">
        <f aca="false">L51*Допущения!$D$25</f>
        <v>1991.31722460631</v>
      </c>
      <c r="Q51" s="25" t="n">
        <f aca="false">L51*(1-Допущения!$D$25)+N51</f>
        <v>7609.37705097702</v>
      </c>
      <c r="R51" s="17" t="n">
        <f aca="false">MAX(Допущения!$D$18,ROUNDUP(Q51/Допущения!$D$68+P51/Допущения!$D$69,0))</f>
        <v>99</v>
      </c>
      <c r="S51" s="17" t="n">
        <f aca="false">ROUNDUP(R51/Допущения!$D$48,0)</f>
        <v>9</v>
      </c>
      <c r="T51" s="17" t="n">
        <f aca="false">L51*F51/(1+Допущения!$D$6)</f>
        <v>23718484.8952184</v>
      </c>
      <c r="U51" s="17" t="n">
        <f aca="false">N51*Допущения!$D$28*E51/(1+Допущения!$D$6)</f>
        <v>3267949.3086202</v>
      </c>
      <c r="V51" s="17" t="n">
        <f aca="false">O51*Допущения!$D$26*Допущения!$D$27/(1+Допущения!$D$6)</f>
        <v>1180413.23060451</v>
      </c>
      <c r="W51" s="17" t="n">
        <f aca="false">T51+U51+V51</f>
        <v>28166847.4344431</v>
      </c>
      <c r="X51" s="17" t="n">
        <f aca="false">J51*Допущения!$D$37</f>
        <v>20000</v>
      </c>
      <c r="Y51" s="17" t="n">
        <f aca="false">(R51*Допущения!$D$47+S51*Допущения!$D$49)*D51*Допущения!$D$9</f>
        <v>12989948.59008</v>
      </c>
      <c r="Z51" s="17" t="n">
        <f aca="false">(MAX(0,R51-R50)+R51*Допущения!$D$50/12)*Допущения!$D$51*D51</f>
        <v>306424.944</v>
      </c>
      <c r="AA51" s="17" t="n">
        <f aca="false">O51*(Допущения!$D$53+Допущения!$D$54)+(L51*F51+N51*Допущения!$D$28*E51)*Допущения!$D$13</f>
        <v>4096875.50570421</v>
      </c>
      <c r="AB51" s="17" t="n">
        <f aca="false">(R51+S51)*Допущения!$D$52</f>
        <v>291600</v>
      </c>
      <c r="AC51" s="17" t="n">
        <f aca="false">SUMPRODUCT(Допущения!$B$84:$B$91,Допущения!$C$84:$C$91,--(Допущения!$D$84:$D$91&lt;=A51))*D51*Допущения!$D$9</f>
        <v>2476618.98624</v>
      </c>
      <c r="AD51" s="17" t="n">
        <f aca="false">(AC51+Y51)*Допущения!$D$14</f>
        <v>1546656.757632</v>
      </c>
      <c r="AE51" s="17" t="n">
        <f aca="false">Допущения!$D$55+Допущения!$D$56*O51/1000+Допущения!$D$57</f>
        <v>216805.554204667</v>
      </c>
      <c r="AF51" s="17" t="n">
        <f aca="false">SUMIF(Допущения!$B$95:$B$103,A51,Допущения!$C$95:$C$103)</f>
        <v>0</v>
      </c>
      <c r="AG51" s="17" t="n">
        <v>0</v>
      </c>
      <c r="AH51" s="17" t="n">
        <f aca="false">G51+SUM(X51:AG51)</f>
        <v>24444930.3378609</v>
      </c>
      <c r="AI51" s="17" t="n">
        <f aca="false">W51-AH51</f>
        <v>3721917.09658223</v>
      </c>
      <c r="AJ51" s="17" t="n">
        <f aca="false">AJ50+AI51</f>
        <v>12345263.9850727</v>
      </c>
      <c r="AK51" s="17" t="n">
        <f aca="false">O51*Допущения!$D$58*Допущения!$D$59</f>
        <v>316822.91109425</v>
      </c>
      <c r="AL51" s="17" t="n">
        <f aca="false">T51*Допущения!$D$72</f>
        <v>1195889.99471689</v>
      </c>
      <c r="AM51" s="17" t="n">
        <f aca="false">IF(MOD(A51,12)=0,INDEX($F$70:$F$74,B51),0)</f>
        <v>0</v>
      </c>
      <c r="AN51" s="17" t="n">
        <f aca="false">AI51-AM51</f>
        <v>3721917.09658223</v>
      </c>
      <c r="AO51" s="26" t="n">
        <f aca="false">1/(1+Допущения!$D$74)^A51</f>
        <v>0.466609935981848</v>
      </c>
      <c r="AP51" s="21" t="n">
        <f aca="false">IF(AND(A51&gt;Допущения!$D$19,MIN(AI51:AI$65)&gt;0),A51,"")</f>
        <v>46</v>
      </c>
      <c r="AQ51" s="21" t="n">
        <f aca="false">IF(MIN(AJ51:AJ$65)&gt;0,A51,"")</f>
        <v>46</v>
      </c>
    </row>
    <row r="52" customFormat="false" ht="15" hidden="false" customHeight="false" outlineLevel="0" collapsed="false">
      <c r="A52" s="28" t="n">
        <v>47</v>
      </c>
      <c r="B52" s="28" t="n">
        <f aca="false">INT((A52-1)/12)+1</f>
        <v>4</v>
      </c>
      <c r="C52" s="12" t="s">
        <v>462</v>
      </c>
      <c r="D52" s="15" t="n">
        <f aca="false">(1+Допущения!$D$11)^(B52-1)</f>
        <v>1.259712</v>
      </c>
      <c r="E52" s="15" t="n">
        <f aca="false">(1+Допущения!$D$12)^(B52-1)</f>
        <v>1.225043</v>
      </c>
      <c r="F52" s="17" t="n">
        <f aca="false">Допущения!$D$71*E52</f>
        <v>3632.84051564</v>
      </c>
      <c r="G52" s="17" t="n">
        <f aca="false">MIN(G51*(1+Допущения!$D$33),Допущения!$D$34)</f>
        <v>2500000</v>
      </c>
      <c r="H52" s="25" t="n">
        <f aca="false">MIN(Допущения!$D$30,G52/Допущения!$D$29)</f>
        <v>300</v>
      </c>
      <c r="I52" s="25" t="n">
        <f aca="false">MAX(0,G52-H52*Допущения!$D$29)/Допущения!$D$31</f>
        <v>341.666666666667</v>
      </c>
      <c r="J52" s="25" t="n">
        <f aca="false">IF(A52&gt;=Допущения!$D$35,Допущения!$D$36,0)</f>
        <v>40</v>
      </c>
      <c r="K52" s="25" t="n">
        <f aca="false">H52+I52+J52</f>
        <v>681.666666666667</v>
      </c>
      <c r="L52" s="25" t="n">
        <f aca="false">(L51-K51)*(1-Допущения!$D$44)+K51*(1-Допущения!$D$43)+K52</f>
        <v>8039.50276451974</v>
      </c>
      <c r="M52" s="25" t="n">
        <f aca="false">IF(A52&gt;=Допущения!$D$38,Допущения!$D$73/Допущения!$D$42*MIN(Допущения!$D$42,A52-Допущения!$D$38+1),0)</f>
        <v>60</v>
      </c>
      <c r="N52" s="25" t="n">
        <f aca="false">N51*(1-Допущения!$D$45)+M52</f>
        <v>1662.71686961492</v>
      </c>
      <c r="O52" s="25" t="n">
        <f aca="false">L52+N52</f>
        <v>9702.21963413466</v>
      </c>
      <c r="P52" s="25" t="n">
        <f aca="false">L52*Допущения!$D$25</f>
        <v>2009.87569112993</v>
      </c>
      <c r="Q52" s="25" t="n">
        <f aca="false">L52*(1-Допущения!$D$25)+N52</f>
        <v>7692.34394300473</v>
      </c>
      <c r="R52" s="17" t="n">
        <f aca="false">MAX(Допущения!$D$18,ROUNDUP(Q52/Допущения!$D$68+P52/Допущения!$D$69,0))</f>
        <v>100</v>
      </c>
      <c r="S52" s="17" t="n">
        <f aca="false">ROUNDUP(R52/Допущения!$D$48,0)</f>
        <v>9</v>
      </c>
      <c r="T52" s="17" t="n">
        <f aca="false">L52*F52/(1+Допущения!$D$6)</f>
        <v>23939533.9086452</v>
      </c>
      <c r="U52" s="17" t="n">
        <f aca="false">N52*Допущения!$D$28*E52/(1+Допущения!$D$6)</f>
        <v>3322483.87507074</v>
      </c>
      <c r="V52" s="17" t="n">
        <f aca="false">O52*Допущения!$D$26*Допущения!$D$27/(1+Допущения!$D$6)</f>
        <v>1192895.8566559</v>
      </c>
      <c r="W52" s="17" t="n">
        <f aca="false">T52+U52+V52</f>
        <v>28454913.6403718</v>
      </c>
      <c r="X52" s="17" t="n">
        <f aca="false">J52*Допущения!$D$37</f>
        <v>20000</v>
      </c>
      <c r="Y52" s="17" t="n">
        <f aca="false">(R52*Допущения!$D$47+S52*Допущения!$D$49)*D52*Допущения!$D$9</f>
        <v>13104758.74176</v>
      </c>
      <c r="Z52" s="17" t="n">
        <f aca="false">(MAX(0,R52-R51)+R52*Допущения!$D$50/12)*Допущения!$D$51*D52</f>
        <v>308629.44</v>
      </c>
      <c r="AA52" s="17" t="n">
        <f aca="false">O52*(Допущения!$D$53+Допущения!$D$54)+(L52*F52+N52*Допущения!$D$28*E52)*Допущения!$D$13</f>
        <v>4139984.07698955</v>
      </c>
      <c r="AB52" s="17" t="n">
        <f aca="false">(R52+S52)*Допущения!$D$52</f>
        <v>294300</v>
      </c>
      <c r="AC52" s="17" t="n">
        <f aca="false">SUMPRODUCT(Допущения!$B$84:$B$91,Допущения!$C$84:$C$91,--(Допущения!$D$84:$D$91&lt;=A52))*D52*Допущения!$D$9</f>
        <v>2476618.98624</v>
      </c>
      <c r="AD52" s="17" t="n">
        <f aca="false">(AC52+Y52)*Допущения!$D$14</f>
        <v>1558137.7728</v>
      </c>
      <c r="AE52" s="17" t="n">
        <f aca="false">Допущения!$D$55+Допущения!$D$56*O52/1000+Допущения!$D$57</f>
        <v>217617.757073077</v>
      </c>
      <c r="AF52" s="17" t="n">
        <f aca="false">SUMIF(Допущения!$B$95:$B$103,A52,Допущения!$C$95:$C$103)</f>
        <v>0</v>
      </c>
      <c r="AG52" s="17" t="n">
        <v>0</v>
      </c>
      <c r="AH52" s="17" t="n">
        <f aca="false">G52+SUM(X52:AG52)</f>
        <v>24620046.7748626</v>
      </c>
      <c r="AI52" s="17" t="n">
        <f aca="false">W52-AH52</f>
        <v>3834866.86550917</v>
      </c>
      <c r="AJ52" s="17" t="n">
        <f aca="false">AJ51+AI52</f>
        <v>16180130.8505819</v>
      </c>
      <c r="AK52" s="17" t="n">
        <f aca="false">O52*Допущения!$D$58*Допущения!$D$59</f>
        <v>320173.247926444</v>
      </c>
      <c r="AL52" s="17" t="n">
        <f aca="false">T52*Допущения!$D$72</f>
        <v>1207035.32312497</v>
      </c>
      <c r="AM52" s="17" t="n">
        <f aca="false">IF(MOD(A52,12)=0,INDEX($F$70:$F$74,B52),0)</f>
        <v>0</v>
      </c>
      <c r="AN52" s="17" t="n">
        <f aca="false">AI52-AM52</f>
        <v>3834866.86550917</v>
      </c>
      <c r="AO52" s="26" t="n">
        <f aca="false">1/(1+Допущения!$D$74)^A52</f>
        <v>0.458941499054271</v>
      </c>
      <c r="AP52" s="21" t="n">
        <f aca="false">IF(AND(A52&gt;Допущения!$D$19,MIN(AI52:AI$65)&gt;0),A52,"")</f>
        <v>47</v>
      </c>
      <c r="AQ52" s="21" t="n">
        <f aca="false">IF(MIN(AJ52:AJ$65)&gt;0,A52,"")</f>
        <v>47</v>
      </c>
    </row>
    <row r="53" customFormat="false" ht="15" hidden="false" customHeight="false" outlineLevel="0" collapsed="false">
      <c r="A53" s="28" t="n">
        <v>48</v>
      </c>
      <c r="B53" s="28" t="n">
        <f aca="false">INT((A53-1)/12)+1</f>
        <v>4</v>
      </c>
      <c r="C53" s="12" t="s">
        <v>462</v>
      </c>
      <c r="D53" s="15" t="n">
        <f aca="false">(1+Допущения!$D$11)^(B53-1)</f>
        <v>1.259712</v>
      </c>
      <c r="E53" s="15" t="n">
        <f aca="false">(1+Допущения!$D$12)^(B53-1)</f>
        <v>1.225043</v>
      </c>
      <c r="F53" s="17" t="n">
        <f aca="false">Допущения!$D$71*E53</f>
        <v>3632.84051564</v>
      </c>
      <c r="G53" s="17" t="n">
        <f aca="false">MIN(G52*(1+Допущения!$D$33),Допущения!$D$34)</f>
        <v>2500000</v>
      </c>
      <c r="H53" s="25" t="n">
        <f aca="false">MIN(Допущения!$D$30,G53/Допущения!$D$29)</f>
        <v>300</v>
      </c>
      <c r="I53" s="25" t="n">
        <f aca="false">MAX(0,G53-H53*Допущения!$D$29)/Допущения!$D$31</f>
        <v>341.666666666667</v>
      </c>
      <c r="J53" s="25" t="n">
        <f aca="false">IF(A53&gt;=Допущения!$D$35,Допущения!$D$36,0)</f>
        <v>40</v>
      </c>
      <c r="K53" s="25" t="n">
        <f aca="false">H53+I53+J53</f>
        <v>681.666666666667</v>
      </c>
      <c r="L53" s="25" t="n">
        <f aca="false">(L52-K52)*(1-Допущения!$D$44)+K52*(1-Допущения!$D$43)+K53</f>
        <v>8109.28259864855</v>
      </c>
      <c r="M53" s="25" t="n">
        <f aca="false">IF(A53&gt;=Допущения!$D$38,Допущения!$D$73/Допущения!$D$42*MIN(Допущения!$D$42,A53-Допущения!$D$38+1),0)</f>
        <v>60</v>
      </c>
      <c r="N53" s="25" t="n">
        <f aca="false">N52*(1-Допущения!$D$45)+M53</f>
        <v>1689.46253222262</v>
      </c>
      <c r="O53" s="25" t="n">
        <f aca="false">L53+N53</f>
        <v>9798.74513087118</v>
      </c>
      <c r="P53" s="25" t="n">
        <f aca="false">L53*Допущения!$D$25</f>
        <v>2027.32064966214</v>
      </c>
      <c r="Q53" s="25" t="n">
        <f aca="false">L53*(1-Допущения!$D$25)+N53</f>
        <v>7771.42448120904</v>
      </c>
      <c r="R53" s="17" t="n">
        <f aca="false">MAX(Допущения!$D$18,ROUNDUP(Q53/Допущения!$D$68+P53/Допущения!$D$69,0))</f>
        <v>101</v>
      </c>
      <c r="S53" s="17" t="n">
        <f aca="false">ROUNDUP(R53/Допущения!$D$48,0)</f>
        <v>9</v>
      </c>
      <c r="T53" s="17" t="n">
        <f aca="false">L53*F53/(1+Допущения!$D$6)</f>
        <v>24147319.9812663</v>
      </c>
      <c r="U53" s="17" t="n">
        <f aca="false">N53*Допущения!$D$28*E53/(1+Допущения!$D$6)</f>
        <v>3375927.75019228</v>
      </c>
      <c r="V53" s="17" t="n">
        <f aca="false">O53*Допущения!$D$26*Допущения!$D$27/(1+Допущения!$D$6)</f>
        <v>1204763.74559892</v>
      </c>
      <c r="W53" s="17" t="n">
        <f aca="false">T53+U53+V53</f>
        <v>28728011.4770575</v>
      </c>
      <c r="X53" s="17" t="n">
        <f aca="false">J53*Допущения!$D$37</f>
        <v>20000</v>
      </c>
      <c r="Y53" s="17" t="n">
        <f aca="false">(R53*Допущения!$D$47+S53*Допущения!$D$49)*D53*Допущения!$D$9</f>
        <v>13219568.89344</v>
      </c>
      <c r="Z53" s="17" t="n">
        <f aca="false">(MAX(0,R53-R52)+R53*Допущения!$D$50/12)*Допущения!$D$51*D53</f>
        <v>310833.936</v>
      </c>
      <c r="AA53" s="17" t="n">
        <f aca="false">O53*(Допущения!$D$53+Допущения!$D$54)+(L53*F53+N53*Допущения!$D$28*E53)*Допущения!$D$13</f>
        <v>4180952.49295081</v>
      </c>
      <c r="AB53" s="17" t="n">
        <f aca="false">(R53+S53)*Допущения!$D$52</f>
        <v>297000</v>
      </c>
      <c r="AC53" s="17" t="n">
        <f aca="false">SUMPRODUCT(Допущения!$B$84:$B$91,Допущения!$C$84:$C$91,--(Допущения!$D$84:$D$91&lt;=A53))*D53*Допущения!$D$9</f>
        <v>2476618.98624</v>
      </c>
      <c r="AD53" s="17" t="n">
        <f aca="false">(AC53+Y53)*Допущения!$D$14</f>
        <v>1569618.787968</v>
      </c>
      <c r="AE53" s="17" t="n">
        <f aca="false">Допущения!$D$55+Допущения!$D$56*O53/1000+Допущения!$D$57</f>
        <v>218389.961046969</v>
      </c>
      <c r="AF53" s="17" t="n">
        <f aca="false">SUMIF(Допущения!$B$95:$B$103,A53,Допущения!$C$95:$C$103)</f>
        <v>0</v>
      </c>
      <c r="AG53" s="17" t="n">
        <v>0</v>
      </c>
      <c r="AH53" s="17" t="n">
        <f aca="false">G53+SUM(X53:AG53)</f>
        <v>24792983.0576458</v>
      </c>
      <c r="AI53" s="17" t="n">
        <f aca="false">W53-AH53</f>
        <v>3935028.41941172</v>
      </c>
      <c r="AJ53" s="17" t="n">
        <f aca="false">AJ52+AI53</f>
        <v>20115159.2699936</v>
      </c>
      <c r="AK53" s="17" t="n">
        <f aca="false">O53*Допущения!$D$58*Допущения!$D$59</f>
        <v>323358.589318749</v>
      </c>
      <c r="AL53" s="17" t="n">
        <f aca="false">T53*Допущения!$D$72</f>
        <v>1217511.93182855</v>
      </c>
      <c r="AM53" s="17" t="n">
        <f aca="false">IF(MOD(A53,12)=0,INDEX($F$70:$F$74,B53),0)</f>
        <v>5057987.96217679</v>
      </c>
      <c r="AN53" s="17" t="n">
        <f aca="false">AI53-AM53</f>
        <v>-1122959.54276506</v>
      </c>
      <c r="AO53" s="26" t="n">
        <f aca="false">1/(1+Допущения!$D$74)^A53</f>
        <v>0.451399088000507</v>
      </c>
      <c r="AP53" s="21" t="n">
        <f aca="false">IF(AND(A53&gt;Допущения!$D$19,MIN(AI53:AI$65)&gt;0),A53,"")</f>
        <v>48</v>
      </c>
      <c r="AQ53" s="21" t="n">
        <f aca="false">IF(MIN(AJ53:AJ$65)&gt;0,A53,"")</f>
        <v>48</v>
      </c>
    </row>
    <row r="54" customFormat="false" ht="15" hidden="false" customHeight="false" outlineLevel="0" collapsed="false">
      <c r="A54" s="28" t="n">
        <v>49</v>
      </c>
      <c r="B54" s="28" t="n">
        <f aca="false">INT((A54-1)/12)+1</f>
        <v>5</v>
      </c>
      <c r="C54" s="12" t="s">
        <v>462</v>
      </c>
      <c r="D54" s="15" t="n">
        <f aca="false">(1+Допущения!$D$11)^(B54-1)</f>
        <v>1.36048896</v>
      </c>
      <c r="E54" s="15" t="n">
        <f aca="false">(1+Допущения!$D$12)^(B54-1)</f>
        <v>1.31079601</v>
      </c>
      <c r="F54" s="17" t="n">
        <f aca="false">Допущения!$D$71*E54</f>
        <v>3887.1393517348</v>
      </c>
      <c r="G54" s="17" t="n">
        <f aca="false">MIN(G53*(1+Допущения!$D$33),Допущения!$D$34)</f>
        <v>2500000</v>
      </c>
      <c r="H54" s="25" t="n">
        <f aca="false">MIN(Допущения!$D$30,G54/Допущения!$D$29)</f>
        <v>300</v>
      </c>
      <c r="I54" s="25" t="n">
        <f aca="false">MAX(0,G54-H54*Допущения!$D$29)/Допущения!$D$31</f>
        <v>341.666666666667</v>
      </c>
      <c r="J54" s="25" t="n">
        <f aca="false">IF(A54&gt;=Допущения!$D$35,Допущения!$D$36,0)</f>
        <v>40</v>
      </c>
      <c r="K54" s="25" t="n">
        <f aca="false">H54+I54+J54</f>
        <v>681.666666666667</v>
      </c>
      <c r="L54" s="25" t="n">
        <f aca="false">(L53-K53)*(1-Допущения!$D$44)+K53*(1-Допущения!$D$43)+K54</f>
        <v>8174.87564272964</v>
      </c>
      <c r="M54" s="25" t="n">
        <f aca="false">IF(A54&gt;=Допущения!$D$38,Допущения!$D$73/Допущения!$D$42*MIN(Допущения!$D$42,A54-Допущения!$D$38+1),0)</f>
        <v>60</v>
      </c>
      <c r="N54" s="25" t="n">
        <f aca="false">N53*(1-Допущения!$D$45)+M54</f>
        <v>1715.67328157817</v>
      </c>
      <c r="O54" s="25" t="n">
        <f aca="false">L54+N54</f>
        <v>9890.54892430781</v>
      </c>
      <c r="P54" s="25" t="n">
        <f aca="false">L54*Допущения!$D$25</f>
        <v>2043.71891068241</v>
      </c>
      <c r="Q54" s="25" t="n">
        <f aca="false">L54*(1-Допущения!$D$25)+N54</f>
        <v>7846.8300136254</v>
      </c>
      <c r="R54" s="17" t="n">
        <f aca="false">MAX(Допущения!$D$18,ROUNDUP(Q54/Допущения!$D$68+P54/Допущения!$D$69,0))</f>
        <v>101</v>
      </c>
      <c r="S54" s="17" t="n">
        <f aca="false">ROUNDUP(R54/Допущения!$D$48,0)</f>
        <v>9</v>
      </c>
      <c r="T54" s="17" t="n">
        <f aca="false">L54*F54/(1+Допущения!$D$6)</f>
        <v>26046623.6117973</v>
      </c>
      <c r="U54" s="17" t="n">
        <f aca="false">N54*Допущения!$D$28*E54/(1+Допущения!$D$6)</f>
        <v>3668283.94015818</v>
      </c>
      <c r="V54" s="17" t="n">
        <f aca="false">O54*Допущения!$D$26*Допущения!$D$27/(1+Допущения!$D$6)</f>
        <v>1216051.09725096</v>
      </c>
      <c r="W54" s="17" t="n">
        <f aca="false">T54+U54+V54</f>
        <v>30930958.6492064</v>
      </c>
      <c r="X54" s="17" t="n">
        <f aca="false">J54*Допущения!$D$37</f>
        <v>20000</v>
      </c>
      <c r="Y54" s="17" t="n">
        <f aca="false">(R54*Допущения!$D$47+S54*Допущения!$D$49)*D54*Допущения!$D$9</f>
        <v>14277134.4049152</v>
      </c>
      <c r="Z54" s="17" t="n">
        <f aca="false">(MAX(0,R54-R53)+R54*Допущения!$D$50/12)*Допущения!$D$51*D54</f>
        <v>240466.42368</v>
      </c>
      <c r="AA54" s="17" t="n">
        <f aca="false">O54*(Допущения!$D$53+Допущения!$D$54)+(L54*F54+N54*Допущения!$D$28*E54)*Допущения!$D$13</f>
        <v>4262589.72721329</v>
      </c>
      <c r="AB54" s="17" t="n">
        <f aca="false">(R54+S54)*Допущения!$D$52</f>
        <v>297000</v>
      </c>
      <c r="AC54" s="17" t="n">
        <f aca="false">SUMPRODUCT(Допущения!$B$84:$B$91,Допущения!$C$84:$C$91,--(Допущения!$D$84:$D$91&lt;=A54))*D54*Допущения!$D$9</f>
        <v>2674748.5051392</v>
      </c>
      <c r="AD54" s="17" t="n">
        <f aca="false">(AC54+Y54)*Допущения!$D$14</f>
        <v>1695188.29100544</v>
      </c>
      <c r="AE54" s="17" t="n">
        <f aca="false">Допущения!$D$55+Допущения!$D$56*O54/1000+Допущения!$D$57</f>
        <v>219124.391394463</v>
      </c>
      <c r="AF54" s="17" t="n">
        <f aca="false">SUMIF(Допущения!$B$95:$B$103,A54,Допущения!$C$95:$C$103)</f>
        <v>0</v>
      </c>
      <c r="AG54" s="17" t="n">
        <v>0</v>
      </c>
      <c r="AH54" s="17" t="n">
        <f aca="false">G54+SUM(X54:AG54)</f>
        <v>26186251.7433476</v>
      </c>
      <c r="AI54" s="17" t="n">
        <f aca="false">W54-AH54</f>
        <v>4744706.90585884</v>
      </c>
      <c r="AJ54" s="17" t="n">
        <f aca="false">AJ53+AI54</f>
        <v>24859866.1758525</v>
      </c>
      <c r="AK54" s="17" t="n">
        <f aca="false">O54*Допущения!$D$58*Допущения!$D$59</f>
        <v>326388.114502158</v>
      </c>
      <c r="AL54" s="17" t="n">
        <f aca="false">T54*Допущения!$D$72</f>
        <v>1313275.14009062</v>
      </c>
      <c r="AM54" s="17" t="n">
        <f aca="false">IF(MOD(A54,12)=0,INDEX($F$70:$F$74,B54),0)</f>
        <v>0</v>
      </c>
      <c r="AN54" s="17" t="n">
        <f aca="false">AI54-AM54</f>
        <v>4744706.90585884</v>
      </c>
      <c r="AO54" s="26" t="n">
        <f aca="false">1/(1+Допущения!$D$74)^A54</f>
        <v>0.443980631665638</v>
      </c>
      <c r="AP54" s="21" t="n">
        <f aca="false">IF(AND(A54&gt;Допущения!$D$19,MIN(AI54:AI$65)&gt;0),A54,"")</f>
        <v>49</v>
      </c>
      <c r="AQ54" s="21" t="n">
        <f aca="false">IF(MIN(AJ54:AJ$65)&gt;0,A54,"")</f>
        <v>49</v>
      </c>
    </row>
    <row r="55" customFormat="false" ht="15" hidden="false" customHeight="false" outlineLevel="0" collapsed="false">
      <c r="A55" s="28" t="n">
        <v>50</v>
      </c>
      <c r="B55" s="28" t="n">
        <f aca="false">INT((A55-1)/12)+1</f>
        <v>5</v>
      </c>
      <c r="C55" s="12" t="s">
        <v>462</v>
      </c>
      <c r="D55" s="15" t="n">
        <f aca="false">(1+Допущения!$D$11)^(B55-1)</f>
        <v>1.36048896</v>
      </c>
      <c r="E55" s="15" t="n">
        <f aca="false">(1+Допущения!$D$12)^(B55-1)</f>
        <v>1.31079601</v>
      </c>
      <c r="F55" s="17" t="n">
        <f aca="false">Допущения!$D$71*E55</f>
        <v>3887.1393517348</v>
      </c>
      <c r="G55" s="17" t="n">
        <f aca="false">MIN(G54*(1+Допущения!$D$33),Допущения!$D$34)</f>
        <v>2500000</v>
      </c>
      <c r="H55" s="25" t="n">
        <f aca="false">MIN(Допущения!$D$30,G55/Допущения!$D$29)</f>
        <v>300</v>
      </c>
      <c r="I55" s="25" t="n">
        <f aca="false">MAX(0,G55-H55*Допущения!$D$29)/Допущения!$D$31</f>
        <v>341.666666666667</v>
      </c>
      <c r="J55" s="25" t="n">
        <f aca="false">IF(A55&gt;=Допущения!$D$35,Допущения!$D$36,0)</f>
        <v>40</v>
      </c>
      <c r="K55" s="25" t="n">
        <f aca="false">H55+I55+J55</f>
        <v>681.666666666667</v>
      </c>
      <c r="L55" s="25" t="n">
        <f aca="false">(L54-K54)*(1-Допущения!$D$44)+K54*(1-Допущения!$D$43)+K55</f>
        <v>8236.53310416586</v>
      </c>
      <c r="M55" s="25" t="n">
        <f aca="false">IF(A55&gt;=Допущения!$D$38,Допущения!$D$73/Допущения!$D$42*MIN(Допущения!$D$42,A55-Допущения!$D$38+1),0)</f>
        <v>60</v>
      </c>
      <c r="N55" s="25" t="n">
        <f aca="false">N54*(1-Допущения!$D$45)+M55</f>
        <v>1741.35981594661</v>
      </c>
      <c r="O55" s="25" t="n">
        <f aca="false">L55+N55</f>
        <v>9977.89292011247</v>
      </c>
      <c r="P55" s="25" t="n">
        <f aca="false">L55*Допущения!$D$25</f>
        <v>2059.13327604147</v>
      </c>
      <c r="Q55" s="25" t="n">
        <f aca="false">L55*(1-Допущения!$D$25)+N55</f>
        <v>7918.759644071</v>
      </c>
      <c r="R55" s="17" t="n">
        <f aca="false">MAX(Допущения!$D$18,ROUNDUP(Q55/Допущения!$D$68+P55/Допущения!$D$69,0))</f>
        <v>102</v>
      </c>
      <c r="S55" s="17" t="n">
        <f aca="false">ROUNDUP(R55/Допущения!$D$48,0)</f>
        <v>9</v>
      </c>
      <c r="T55" s="17" t="n">
        <f aca="false">L55*F55/(1+Допущения!$D$6)</f>
        <v>26243075.3697291</v>
      </c>
      <c r="U55" s="17" t="n">
        <f aca="false">N55*Допущения!$D$28*E55/(1+Допущения!$D$6)</f>
        <v>3723204.36266158</v>
      </c>
      <c r="V55" s="17" t="n">
        <f aca="false">O55*Допущения!$D$26*Допущения!$D$27/(1+Допущения!$D$6)</f>
        <v>1226790.11312858</v>
      </c>
      <c r="W55" s="17" t="n">
        <f aca="false">T55+U55+V55</f>
        <v>31193069.8455193</v>
      </c>
      <c r="X55" s="17" t="n">
        <f aca="false">J55*Допущения!$D$37</f>
        <v>20000</v>
      </c>
      <c r="Y55" s="17" t="n">
        <f aca="false">(R55*Допущения!$D$47+S55*Допущения!$D$49)*D55*Допущения!$D$9</f>
        <v>14401129.3687296</v>
      </c>
      <c r="Z55" s="17" t="n">
        <f aca="false">(MAX(0,R55-R54)+R55*Допущения!$D$50/12)*Допущения!$D$51*D55</f>
        <v>338081.50656</v>
      </c>
      <c r="AA55" s="17" t="n">
        <f aca="false">O55*(Допущения!$D$53+Допущения!$D$54)+(L55*F55+N55*Допущения!$D$28*E55)*Допущения!$D$13</f>
        <v>4299990.41876435</v>
      </c>
      <c r="AB55" s="17" t="n">
        <f aca="false">(R55+S55)*Допущения!$D$52</f>
        <v>299700</v>
      </c>
      <c r="AC55" s="17" t="n">
        <f aca="false">SUMPRODUCT(Допущения!$B$84:$B$91,Допущения!$C$84:$C$91,--(Допущения!$D$84:$D$91&lt;=A55))*D55*Допущения!$D$9</f>
        <v>2674748.5051392</v>
      </c>
      <c r="AD55" s="17" t="n">
        <f aca="false">(AC55+Y55)*Допущения!$D$14</f>
        <v>1707587.78738688</v>
      </c>
      <c r="AE55" s="17" t="n">
        <f aca="false">Допущения!$D$55+Допущения!$D$56*O55/1000+Допущения!$D$57</f>
        <v>219823.1433609</v>
      </c>
      <c r="AF55" s="17" t="n">
        <f aca="false">SUMIF(Допущения!$B$95:$B$103,A55,Допущения!$C$95:$C$103)</f>
        <v>0</v>
      </c>
      <c r="AG55" s="17" t="n">
        <v>0</v>
      </c>
      <c r="AH55" s="17" t="n">
        <f aca="false">G55+SUM(X55:AG55)</f>
        <v>26461060.7299409</v>
      </c>
      <c r="AI55" s="17" t="n">
        <f aca="false">W55-AH55</f>
        <v>4732009.11557834</v>
      </c>
      <c r="AJ55" s="17" t="n">
        <f aca="false">AJ54+AI55</f>
        <v>29591875.2914308</v>
      </c>
      <c r="AK55" s="17" t="n">
        <f aca="false">O55*Допущения!$D$58*Допущения!$D$59</f>
        <v>329270.466363711</v>
      </c>
      <c r="AL55" s="17" t="n">
        <f aca="false">T55*Допущения!$D$72</f>
        <v>1323180.27074264</v>
      </c>
      <c r="AM55" s="17" t="n">
        <f aca="false">IF(MOD(A55,12)=0,INDEX($F$70:$F$74,B55),0)</f>
        <v>0</v>
      </c>
      <c r="AN55" s="17" t="n">
        <f aca="false">AI55-AM55</f>
        <v>4732009.11557834</v>
      </c>
      <c r="AO55" s="26" t="n">
        <f aca="false">1/(1+Допущения!$D$74)^A55</f>
        <v>0.436684092932853</v>
      </c>
      <c r="AP55" s="21" t="n">
        <f aca="false">IF(AND(A55&gt;Допущения!$D$19,MIN(AI55:AI$65)&gt;0),A55,"")</f>
        <v>50</v>
      </c>
      <c r="AQ55" s="21" t="n">
        <f aca="false">IF(MIN(AJ55:AJ$65)&gt;0,A55,"")</f>
        <v>50</v>
      </c>
    </row>
    <row r="56" customFormat="false" ht="15" hidden="false" customHeight="false" outlineLevel="0" collapsed="false">
      <c r="A56" s="28" t="n">
        <v>51</v>
      </c>
      <c r="B56" s="28" t="n">
        <f aca="false">INT((A56-1)/12)+1</f>
        <v>5</v>
      </c>
      <c r="C56" s="12" t="s">
        <v>462</v>
      </c>
      <c r="D56" s="15" t="n">
        <f aca="false">(1+Допущения!$D$11)^(B56-1)</f>
        <v>1.36048896</v>
      </c>
      <c r="E56" s="15" t="n">
        <f aca="false">(1+Допущения!$D$12)^(B56-1)</f>
        <v>1.31079601</v>
      </c>
      <c r="F56" s="17" t="n">
        <f aca="false">Допущения!$D$71*E56</f>
        <v>3887.1393517348</v>
      </c>
      <c r="G56" s="17" t="n">
        <f aca="false">MIN(G55*(1+Допущения!$D$33),Допущения!$D$34)</f>
        <v>2500000</v>
      </c>
      <c r="H56" s="25" t="n">
        <f aca="false">MIN(Допущения!$D$30,G56/Допущения!$D$29)</f>
        <v>300</v>
      </c>
      <c r="I56" s="25" t="n">
        <f aca="false">MAX(0,G56-H56*Допущения!$D$29)/Допущения!$D$31</f>
        <v>341.666666666667</v>
      </c>
      <c r="J56" s="25" t="n">
        <f aca="false">IF(A56&gt;=Допущения!$D$35,Допущения!$D$36,0)</f>
        <v>40</v>
      </c>
      <c r="K56" s="25" t="n">
        <f aca="false">H56+I56+J56</f>
        <v>681.666666666667</v>
      </c>
      <c r="L56" s="25" t="n">
        <f aca="false">(L55-K55)*(1-Допущения!$D$44)+K55*(1-Допущения!$D$43)+K56</f>
        <v>8294.49111791591</v>
      </c>
      <c r="M56" s="25" t="n">
        <f aca="false">IF(A56&gt;=Допущения!$D$38,Допущения!$D$73/Допущения!$D$42*MIN(Допущения!$D$42,A56-Допущения!$D$38+1),0)</f>
        <v>60</v>
      </c>
      <c r="N56" s="25" t="n">
        <f aca="false">N55*(1-Допущения!$D$45)+M56</f>
        <v>1766.53261962767</v>
      </c>
      <c r="O56" s="25" t="n">
        <f aca="false">L56+N56</f>
        <v>10061.0237375436</v>
      </c>
      <c r="P56" s="25" t="n">
        <f aca="false">L56*Допущения!$D$25</f>
        <v>2073.62277947898</v>
      </c>
      <c r="Q56" s="25" t="n">
        <f aca="false">L56*(1-Допущения!$D$25)+N56</f>
        <v>7987.40095806461</v>
      </c>
      <c r="R56" s="17" t="n">
        <f aca="false">MAX(Допущения!$D$18,ROUNDUP(Q56/Допущения!$D$68+P56/Допущения!$D$69,0))</f>
        <v>103</v>
      </c>
      <c r="S56" s="17" t="n">
        <f aca="false">ROUNDUP(R56/Допущения!$D$48,0)</f>
        <v>9</v>
      </c>
      <c r="T56" s="17" t="n">
        <f aca="false">L56*F56/(1+Допущения!$D$6)</f>
        <v>26427740.022185</v>
      </c>
      <c r="U56" s="17" t="n">
        <f aca="false">N56*Допущения!$D$28*E56/(1+Допущения!$D$6)</f>
        <v>3777026.3767149</v>
      </c>
      <c r="V56" s="17" t="n">
        <f aca="false">O56*Допущения!$D$26*Допущения!$D$27/(1+Допущения!$D$6)</f>
        <v>1237011.11527175</v>
      </c>
      <c r="W56" s="17" t="n">
        <f aca="false">T56+U56+V56</f>
        <v>31441777.5141717</v>
      </c>
      <c r="X56" s="17" t="n">
        <f aca="false">J56*Допущения!$D$37</f>
        <v>20000</v>
      </c>
      <c r="Y56" s="17" t="n">
        <f aca="false">(R56*Допущения!$D$47+S56*Допущения!$D$49)*D56*Допущения!$D$9</f>
        <v>14525124.332544</v>
      </c>
      <c r="Z56" s="17" t="n">
        <f aca="false">(MAX(0,R56-R55)+R56*Допущения!$D$50/12)*Допущения!$D$51*D56</f>
        <v>340462.36224</v>
      </c>
      <c r="AA56" s="17" t="n">
        <f aca="false">O56*(Допущения!$D$53+Допущения!$D$54)+(L56*F56+N56*Допущения!$D$28*E56)*Допущения!$D$13</f>
        <v>4335570.33432325</v>
      </c>
      <c r="AB56" s="17" t="n">
        <f aca="false">(R56+S56)*Допущения!$D$52</f>
        <v>302400</v>
      </c>
      <c r="AC56" s="17" t="n">
        <f aca="false">SUMPRODUCT(Допущения!$B$84:$B$91,Допущения!$C$84:$C$91,--(Допущения!$D$84:$D$91&lt;=A56))*D56*Допущения!$D$9</f>
        <v>2674748.5051392</v>
      </c>
      <c r="AD56" s="17" t="n">
        <f aca="false">(AC56+Y56)*Допущения!$D$14</f>
        <v>1719987.28376832</v>
      </c>
      <c r="AE56" s="17" t="n">
        <f aca="false">Допущения!$D$55+Допущения!$D$56*O56/1000+Допущения!$D$57</f>
        <v>220488.189900349</v>
      </c>
      <c r="AF56" s="17" t="n">
        <f aca="false">SUMIF(Допущения!$B$95:$B$103,A56,Допущения!$C$95:$C$103)</f>
        <v>0</v>
      </c>
      <c r="AG56" s="17" t="n">
        <v>0</v>
      </c>
      <c r="AH56" s="17" t="n">
        <f aca="false">G56+SUM(X56:AG56)</f>
        <v>26638781.0079151</v>
      </c>
      <c r="AI56" s="17" t="n">
        <f aca="false">W56-AH56</f>
        <v>4802996.50625653</v>
      </c>
      <c r="AJ56" s="17" t="n">
        <f aca="false">AJ55+AI56</f>
        <v>34394871.7976873</v>
      </c>
      <c r="AK56" s="17" t="n">
        <f aca="false">O56*Допущения!$D$58*Допущения!$D$59</f>
        <v>332013.783338938</v>
      </c>
      <c r="AL56" s="17" t="n">
        <f aca="false">T56*Допущения!$D$72</f>
        <v>1332491.09355555</v>
      </c>
      <c r="AM56" s="17" t="n">
        <f aca="false">IF(MOD(A56,12)=0,INDEX($F$70:$F$74,B56),0)</f>
        <v>0</v>
      </c>
      <c r="AN56" s="17" t="n">
        <f aca="false">AI56-AM56</f>
        <v>4802996.50625653</v>
      </c>
      <c r="AO56" s="26" t="n">
        <f aca="false">1/(1+Допущения!$D$74)^A56</f>
        <v>0.429507468164061</v>
      </c>
      <c r="AP56" s="21" t="n">
        <f aca="false">IF(AND(A56&gt;Допущения!$D$19,MIN(AI56:AI$65)&gt;0),A56,"")</f>
        <v>51</v>
      </c>
      <c r="AQ56" s="21" t="n">
        <f aca="false">IF(MIN(AJ56:AJ$65)&gt;0,A56,"")</f>
        <v>51</v>
      </c>
    </row>
    <row r="57" customFormat="false" ht="15" hidden="false" customHeight="false" outlineLevel="0" collapsed="false">
      <c r="A57" s="28" t="n">
        <v>52</v>
      </c>
      <c r="B57" s="28" t="n">
        <f aca="false">INT((A57-1)/12)+1</f>
        <v>5</v>
      </c>
      <c r="C57" s="12" t="s">
        <v>462</v>
      </c>
      <c r="D57" s="15" t="n">
        <f aca="false">(1+Допущения!$D$11)^(B57-1)</f>
        <v>1.36048896</v>
      </c>
      <c r="E57" s="15" t="n">
        <f aca="false">(1+Допущения!$D$12)^(B57-1)</f>
        <v>1.31079601</v>
      </c>
      <c r="F57" s="17" t="n">
        <f aca="false">Допущения!$D$71*E57</f>
        <v>3887.1393517348</v>
      </c>
      <c r="G57" s="17" t="n">
        <f aca="false">MIN(G56*(1+Допущения!$D$33),Допущения!$D$34)</f>
        <v>2500000</v>
      </c>
      <c r="H57" s="25" t="n">
        <f aca="false">MIN(Допущения!$D$30,G57/Допущения!$D$29)</f>
        <v>300</v>
      </c>
      <c r="I57" s="25" t="n">
        <f aca="false">MAX(0,G57-H57*Допущения!$D$29)/Допущения!$D$31</f>
        <v>341.666666666667</v>
      </c>
      <c r="J57" s="25" t="n">
        <f aca="false">IF(A57&gt;=Допущения!$D$35,Допущения!$D$36,0)</f>
        <v>40</v>
      </c>
      <c r="K57" s="25" t="n">
        <f aca="false">H57+I57+J57</f>
        <v>681.666666666667</v>
      </c>
      <c r="L57" s="25" t="n">
        <f aca="false">(L56-K56)*(1-Допущения!$D$44)+K56*(1-Допущения!$D$43)+K57</f>
        <v>8348.97165084095</v>
      </c>
      <c r="M57" s="25" t="n">
        <f aca="false">IF(A57&gt;=Допущения!$D$38,Допущения!$D$73/Допущения!$D$42*MIN(Допущения!$D$42,A57-Допущения!$D$38+1),0)</f>
        <v>60</v>
      </c>
      <c r="N57" s="25" t="n">
        <f aca="false">N56*(1-Допущения!$D$45)+M57</f>
        <v>1791.20196723512</v>
      </c>
      <c r="O57" s="25" t="n">
        <f aca="false">L57+N57</f>
        <v>10140.1736180761</v>
      </c>
      <c r="P57" s="25" t="n">
        <f aca="false">L57*Допущения!$D$25</f>
        <v>2087.24291271024</v>
      </c>
      <c r="Q57" s="25" t="n">
        <f aca="false">L57*(1-Допущения!$D$25)+N57</f>
        <v>8052.93070536584</v>
      </c>
      <c r="R57" s="17" t="n">
        <f aca="false">MAX(Допущения!$D$18,ROUNDUP(Q57/Допущения!$D$68+P57/Допущения!$D$69,0))</f>
        <v>104</v>
      </c>
      <c r="S57" s="17" t="n">
        <f aca="false">ROUNDUP(R57/Допущения!$D$48,0)</f>
        <v>9</v>
      </c>
      <c r="T57" s="17" t="n">
        <f aca="false">L57*F57/(1+Допущения!$D$6)</f>
        <v>26601324.7954935</v>
      </c>
      <c r="U57" s="17" t="n">
        <f aca="false">N57*Допущения!$D$28*E57/(1+Допущения!$D$6)</f>
        <v>3829771.95048716</v>
      </c>
      <c r="V57" s="17" t="n">
        <f aca="false">O57*Допущения!$D$26*Допущения!$D$27/(1+Допущения!$D$6)</f>
        <v>1246742.65796017</v>
      </c>
      <c r="W57" s="17" t="n">
        <f aca="false">T57+U57+V57</f>
        <v>31677839.4039409</v>
      </c>
      <c r="X57" s="17" t="n">
        <f aca="false">J57*Допущения!$D$37</f>
        <v>20000</v>
      </c>
      <c r="Y57" s="17" t="n">
        <f aca="false">(R57*Допущения!$D$47+S57*Допущения!$D$49)*D57*Допущения!$D$9</f>
        <v>14649119.2963584</v>
      </c>
      <c r="Z57" s="17" t="n">
        <f aca="false">(MAX(0,R57-R56)+R57*Допущения!$D$50/12)*Допущения!$D$51*D57</f>
        <v>342843.21792</v>
      </c>
      <c r="AA57" s="17" t="n">
        <f aca="false">O57*(Допущения!$D$53+Допущения!$D$54)+(L57*F57+N57*Допущения!$D$28*E57)*Допущения!$D$13</f>
        <v>4369430.2551395</v>
      </c>
      <c r="AB57" s="17" t="n">
        <f aca="false">(R57+S57)*Допущения!$D$52</f>
        <v>305100</v>
      </c>
      <c r="AC57" s="17" t="n">
        <f aca="false">SUMPRODUCT(Допущения!$B$84:$B$91,Допущения!$C$84:$C$91,--(Допущения!$D$84:$D$91&lt;=A57))*D57*Допущения!$D$9</f>
        <v>2674748.5051392</v>
      </c>
      <c r="AD57" s="17" t="n">
        <f aca="false">(AC57+Y57)*Допущения!$D$14</f>
        <v>1732386.78014976</v>
      </c>
      <c r="AE57" s="17" t="n">
        <f aca="false">Допущения!$D$55+Допущения!$D$56*O57/1000+Допущения!$D$57</f>
        <v>221121.388944609</v>
      </c>
      <c r="AF57" s="17" t="n">
        <f aca="false">SUMIF(Допущения!$B$95:$B$103,A57,Допущения!$C$95:$C$103)</f>
        <v>0</v>
      </c>
      <c r="AG57" s="17" t="n">
        <v>0</v>
      </c>
      <c r="AH57" s="17" t="n">
        <f aca="false">G57+SUM(X57:AG57)</f>
        <v>26814749.4436515</v>
      </c>
      <c r="AI57" s="17" t="n">
        <f aca="false">W57-AH57</f>
        <v>4863089.96028941</v>
      </c>
      <c r="AJ57" s="17" t="n">
        <f aca="false">AJ56+AI57</f>
        <v>39257961.7579767</v>
      </c>
      <c r="AK57" s="17" t="n">
        <f aca="false">O57*Допущения!$D$58*Допущения!$D$59</f>
        <v>334625.72939651</v>
      </c>
      <c r="AL57" s="17" t="n">
        <f aca="false">T57*Допущения!$D$72</f>
        <v>1341243.26699967</v>
      </c>
      <c r="AM57" s="17" t="n">
        <f aca="false">IF(MOD(A57,12)=0,INDEX($F$70:$F$74,B57),0)</f>
        <v>0</v>
      </c>
      <c r="AN57" s="17" t="n">
        <f aca="false">AI57-AM57</f>
        <v>4863089.96028941</v>
      </c>
      <c r="AO57" s="26" t="n">
        <f aca="false">1/(1+Допущения!$D$74)^A57</f>
        <v>0.422448786649684</v>
      </c>
      <c r="AP57" s="21" t="n">
        <f aca="false">IF(AND(A57&gt;Допущения!$D$19,MIN(AI57:AI$65)&gt;0),A57,"")</f>
        <v>52</v>
      </c>
      <c r="AQ57" s="21" t="n">
        <f aca="false">IF(MIN(AJ57:AJ$65)&gt;0,A57,"")</f>
        <v>52</v>
      </c>
    </row>
    <row r="58" customFormat="false" ht="15" hidden="false" customHeight="false" outlineLevel="0" collapsed="false">
      <c r="A58" s="28" t="n">
        <v>53</v>
      </c>
      <c r="B58" s="28" t="n">
        <f aca="false">INT((A58-1)/12)+1</f>
        <v>5</v>
      </c>
      <c r="C58" s="12" t="s">
        <v>462</v>
      </c>
      <c r="D58" s="15" t="n">
        <f aca="false">(1+Допущения!$D$11)^(B58-1)</f>
        <v>1.36048896</v>
      </c>
      <c r="E58" s="15" t="n">
        <f aca="false">(1+Допущения!$D$12)^(B58-1)</f>
        <v>1.31079601</v>
      </c>
      <c r="F58" s="17" t="n">
        <f aca="false">Допущения!$D$71*E58</f>
        <v>3887.1393517348</v>
      </c>
      <c r="G58" s="17" t="n">
        <f aca="false">MIN(G57*(1+Допущения!$D$33),Допущения!$D$34)</f>
        <v>2500000</v>
      </c>
      <c r="H58" s="25" t="n">
        <f aca="false">MIN(Допущения!$D$30,G58/Допущения!$D$29)</f>
        <v>300</v>
      </c>
      <c r="I58" s="25" t="n">
        <f aca="false">MAX(0,G58-H58*Допущения!$D$29)/Допущения!$D$31</f>
        <v>341.666666666667</v>
      </c>
      <c r="J58" s="25" t="n">
        <f aca="false">IF(A58&gt;=Допущения!$D$35,Допущения!$D$36,0)</f>
        <v>40</v>
      </c>
      <c r="K58" s="25" t="n">
        <f aca="false">H58+I58+J58</f>
        <v>681.666666666667</v>
      </c>
      <c r="L58" s="25" t="n">
        <f aca="false">(L57-K57)*(1-Допущения!$D$44)+K57*(1-Допущения!$D$43)+K58</f>
        <v>8400.18335179049</v>
      </c>
      <c r="M58" s="25" t="n">
        <f aca="false">IF(A58&gt;=Допущения!$D$38,Допущения!$D$73/Допущения!$D$42*MIN(Допущения!$D$42,A58-Допущения!$D$38+1),0)</f>
        <v>60</v>
      </c>
      <c r="N58" s="25" t="n">
        <f aca="false">N57*(1-Допущения!$D$45)+M58</f>
        <v>1815.37792789042</v>
      </c>
      <c r="O58" s="25" t="n">
        <f aca="false">L58+N58</f>
        <v>10215.5612796809</v>
      </c>
      <c r="P58" s="25" t="n">
        <f aca="false">L58*Допущения!$D$25</f>
        <v>2100.04583794762</v>
      </c>
      <c r="Q58" s="25" t="n">
        <f aca="false">L58*(1-Допущения!$D$25)+N58</f>
        <v>8115.51544173329</v>
      </c>
      <c r="R58" s="17" t="n">
        <f aca="false">MAX(Допущения!$D$18,ROUNDUP(Q58/Допущения!$D$68+P58/Допущения!$D$69,0))</f>
        <v>105</v>
      </c>
      <c r="S58" s="17" t="n">
        <f aca="false">ROUNDUP(R58/Допущения!$D$48,0)</f>
        <v>9</v>
      </c>
      <c r="T58" s="17" t="n">
        <f aca="false">L58*F58/(1+Допущения!$D$6)</f>
        <v>26764494.4824036</v>
      </c>
      <c r="U58" s="17" t="n">
        <f aca="false">N58*Допущения!$D$28*E58/(1+Допущения!$D$6)</f>
        <v>3881462.61278398</v>
      </c>
      <c r="V58" s="17" t="n">
        <f aca="false">O58*Допущения!$D$26*Допущения!$D$27/(1+Допущения!$D$6)</f>
        <v>1256011.63274765</v>
      </c>
      <c r="W58" s="17" t="n">
        <f aca="false">T58+U58+V58</f>
        <v>31901968.7279352</v>
      </c>
      <c r="X58" s="17" t="n">
        <f aca="false">J58*Допущения!$D$37</f>
        <v>20000</v>
      </c>
      <c r="Y58" s="17" t="n">
        <f aca="false">(R58*Допущения!$D$47+S58*Допущения!$D$49)*D58*Допущения!$D$9</f>
        <v>14773114.2601728</v>
      </c>
      <c r="Z58" s="17" t="n">
        <f aca="false">(MAX(0,R58-R57)+R58*Допущения!$D$50/12)*Допущения!$D$51*D58</f>
        <v>345224.0736</v>
      </c>
      <c r="AA58" s="17" t="n">
        <f aca="false">O58*(Допущения!$D$53+Допущения!$D$54)+(L58*F58+N58*Допущения!$D$28*E58)*Допущения!$D$13</f>
        <v>4401665.08489385</v>
      </c>
      <c r="AB58" s="17" t="n">
        <f aca="false">(R58+S58)*Допущения!$D$52</f>
        <v>307800</v>
      </c>
      <c r="AC58" s="17" t="n">
        <f aca="false">SUMPRODUCT(Допущения!$B$84:$B$91,Допущения!$C$84:$C$91,--(Допущения!$D$84:$D$91&lt;=A58))*D58*Допущения!$D$9</f>
        <v>2674748.5051392</v>
      </c>
      <c r="AD58" s="17" t="n">
        <f aca="false">(AC58+Y58)*Допущения!$D$14</f>
        <v>1744786.2765312</v>
      </c>
      <c r="AE58" s="17" t="n">
        <f aca="false">Допущения!$D$55+Допущения!$D$56*O58/1000+Допущения!$D$57</f>
        <v>221724.490237447</v>
      </c>
      <c r="AF58" s="17" t="n">
        <f aca="false">SUMIF(Допущения!$B$95:$B$103,A58,Допущения!$C$95:$C$103)</f>
        <v>0</v>
      </c>
      <c r="AG58" s="17" t="n">
        <v>0</v>
      </c>
      <c r="AH58" s="17" t="n">
        <f aca="false">G58+SUM(X58:AG58)</f>
        <v>26989062.6905745</v>
      </c>
      <c r="AI58" s="17" t="n">
        <f aca="false">W58-AH58</f>
        <v>4912906.03736071</v>
      </c>
      <c r="AJ58" s="17" t="n">
        <f aca="false">AJ57+AI58</f>
        <v>44170867.7953374</v>
      </c>
      <c r="AK58" s="17" t="n">
        <f aca="false">O58*Допущения!$D$58*Допущения!$D$59</f>
        <v>337113.52222947</v>
      </c>
      <c r="AL58" s="17" t="n">
        <f aca="false">T58*Допущения!$D$72</f>
        <v>1349470.31003716</v>
      </c>
      <c r="AM58" s="17" t="n">
        <f aca="false">IF(MOD(A58,12)=0,INDEX($F$70:$F$74,B58),0)</f>
        <v>0</v>
      </c>
      <c r="AN58" s="17" t="n">
        <f aca="false">AI58-AM58</f>
        <v>4912906.03736071</v>
      </c>
      <c r="AO58" s="26" t="n">
        <f aca="false">1/(1+Допущения!$D$74)^A58</f>
        <v>0.415506110067503</v>
      </c>
      <c r="AP58" s="21" t="n">
        <f aca="false">IF(AND(A58&gt;Допущения!$D$19,MIN(AI58:AI$65)&gt;0),A58,"")</f>
        <v>53</v>
      </c>
      <c r="AQ58" s="21" t="n">
        <f aca="false">IF(MIN(AJ58:AJ$65)&gt;0,A58,"")</f>
        <v>53</v>
      </c>
    </row>
    <row r="59" customFormat="false" ht="15" hidden="false" customHeight="false" outlineLevel="0" collapsed="false">
      <c r="A59" s="28" t="n">
        <v>54</v>
      </c>
      <c r="B59" s="28" t="n">
        <f aca="false">INT((A59-1)/12)+1</f>
        <v>5</v>
      </c>
      <c r="C59" s="12" t="s">
        <v>462</v>
      </c>
      <c r="D59" s="15" t="n">
        <f aca="false">(1+Допущения!$D$11)^(B59-1)</f>
        <v>1.36048896</v>
      </c>
      <c r="E59" s="15" t="n">
        <f aca="false">(1+Допущения!$D$12)^(B59-1)</f>
        <v>1.31079601</v>
      </c>
      <c r="F59" s="17" t="n">
        <f aca="false">Допущения!$D$71*E59</f>
        <v>3887.1393517348</v>
      </c>
      <c r="G59" s="17" t="n">
        <f aca="false">MIN(G58*(1+Допущения!$D$33),Допущения!$D$34)</f>
        <v>2500000</v>
      </c>
      <c r="H59" s="25" t="n">
        <f aca="false">MIN(Допущения!$D$30,G59/Допущения!$D$29)</f>
        <v>300</v>
      </c>
      <c r="I59" s="25" t="n">
        <f aca="false">MAX(0,G59-H59*Допущения!$D$29)/Допущения!$D$31</f>
        <v>341.666666666667</v>
      </c>
      <c r="J59" s="25" t="n">
        <f aca="false">IF(A59&gt;=Допущения!$D$35,Допущения!$D$36,0)</f>
        <v>40</v>
      </c>
      <c r="K59" s="25" t="n">
        <f aca="false">H59+I59+J59</f>
        <v>681.666666666667</v>
      </c>
      <c r="L59" s="25" t="n">
        <f aca="false">(L58-K58)*(1-Допущения!$D$44)+K58*(1-Допущения!$D$43)+K59</f>
        <v>8448.32235068306</v>
      </c>
      <c r="M59" s="25" t="n">
        <f aca="false">IF(A59&gt;=Допущения!$D$38,Допущения!$D$73/Допущения!$D$42*MIN(Допущения!$D$42,A59-Допущения!$D$38+1),0)</f>
        <v>60</v>
      </c>
      <c r="N59" s="25" t="n">
        <f aca="false">N58*(1-Допущения!$D$45)+M59</f>
        <v>1839.07036933261</v>
      </c>
      <c r="O59" s="25" t="n">
        <f aca="false">L59+N59</f>
        <v>10287.3927200157</v>
      </c>
      <c r="P59" s="25" t="n">
        <f aca="false">L59*Допущения!$D$25</f>
        <v>2112.08058767077</v>
      </c>
      <c r="Q59" s="25" t="n">
        <f aca="false">L59*(1-Допущения!$D$25)+N59</f>
        <v>8175.31213234491</v>
      </c>
      <c r="R59" s="17" t="n">
        <f aca="false">MAX(Допущения!$D$18,ROUNDUP(Q59/Допущения!$D$68+P59/Допущения!$D$69,0))</f>
        <v>105</v>
      </c>
      <c r="S59" s="17" t="n">
        <f aca="false">ROUNDUP(R59/Допущения!$D$48,0)</f>
        <v>9</v>
      </c>
      <c r="T59" s="17" t="n">
        <f aca="false">L59*F59/(1+Допущения!$D$6)</f>
        <v>26917873.988099</v>
      </c>
      <c r="U59" s="17" t="n">
        <f aca="false">N59*Допущения!$D$28*E59/(1+Допущения!$D$6)</f>
        <v>3932119.46183485</v>
      </c>
      <c r="V59" s="17" t="n">
        <f aca="false">O59*Допущения!$D$26*Допущения!$D$27/(1+Допущения!$D$6)</f>
        <v>1264843.36721504</v>
      </c>
      <c r="W59" s="17" t="n">
        <f aca="false">T59+U59+V59</f>
        <v>32114836.8171489</v>
      </c>
      <c r="X59" s="17" t="n">
        <f aca="false">J59*Допущения!$D$37</f>
        <v>20000</v>
      </c>
      <c r="Y59" s="17" t="n">
        <f aca="false">(R59*Допущения!$D$47+S59*Допущения!$D$49)*D59*Допущения!$D$9</f>
        <v>14773114.2601728</v>
      </c>
      <c r="Z59" s="17" t="n">
        <f aca="false">(MAX(0,R59-R58)+R59*Допущения!$D$50/12)*Допущения!$D$51*D59</f>
        <v>249989.8464</v>
      </c>
      <c r="AA59" s="17" t="n">
        <f aca="false">O59*(Допущения!$D$53+Допущения!$D$54)+(L59*F59+N59*Допущения!$D$28*E59)*Допущения!$D$13</f>
        <v>4432364.19896627</v>
      </c>
      <c r="AB59" s="17" t="n">
        <f aca="false">(R59+S59)*Допущения!$D$52</f>
        <v>307800</v>
      </c>
      <c r="AC59" s="17" t="n">
        <f aca="false">SUMPRODUCT(Допущения!$B$84:$B$91,Допущения!$C$84:$C$91,--(Допущения!$D$84:$D$91&lt;=A59))*D59*Допущения!$D$9</f>
        <v>2674748.5051392</v>
      </c>
      <c r="AD59" s="17" t="n">
        <f aca="false">(AC59+Y59)*Допущения!$D$14</f>
        <v>1744786.2765312</v>
      </c>
      <c r="AE59" s="17" t="n">
        <f aca="false">Допущения!$D$55+Допущения!$D$56*O59/1000+Допущения!$D$57</f>
        <v>222299.141760125</v>
      </c>
      <c r="AF59" s="17" t="n">
        <f aca="false">SUMIF(Допущения!$B$95:$B$103,A59,Допущения!$C$95:$C$103)</f>
        <v>0</v>
      </c>
      <c r="AG59" s="17" t="n">
        <v>0</v>
      </c>
      <c r="AH59" s="17" t="n">
        <f aca="false">G59+SUM(X59:AG59)</f>
        <v>26925102.2289696</v>
      </c>
      <c r="AI59" s="17" t="n">
        <f aca="false">W59-AH59</f>
        <v>5189734.5881793</v>
      </c>
      <c r="AJ59" s="17" t="n">
        <f aca="false">AJ58+AI59</f>
        <v>49360602.3835167</v>
      </c>
      <c r="AK59" s="17" t="n">
        <f aca="false">O59*Допущения!$D$58*Допущения!$D$59</f>
        <v>339483.959760517</v>
      </c>
      <c r="AL59" s="17" t="n">
        <f aca="false">T59*Допущения!$D$72</f>
        <v>1357203.73049239</v>
      </c>
      <c r="AM59" s="17" t="n">
        <f aca="false">IF(MOD(A59,12)=0,INDEX($F$70:$F$74,B59),0)</f>
        <v>0</v>
      </c>
      <c r="AN59" s="17" t="n">
        <f aca="false">AI59-AM59</f>
        <v>5189734.5881793</v>
      </c>
      <c r="AO59" s="26" t="n">
        <f aca="false">1/(1+Допущения!$D$74)^A59</f>
        <v>0.408677531950384</v>
      </c>
      <c r="AP59" s="21" t="n">
        <f aca="false">IF(AND(A59&gt;Допущения!$D$19,MIN(AI59:AI$65)&gt;0),A59,"")</f>
        <v>54</v>
      </c>
      <c r="AQ59" s="21" t="n">
        <f aca="false">IF(MIN(AJ59:AJ$65)&gt;0,A59,"")</f>
        <v>54</v>
      </c>
    </row>
    <row r="60" customFormat="false" ht="15" hidden="false" customHeight="false" outlineLevel="0" collapsed="false">
      <c r="A60" s="28" t="n">
        <v>55</v>
      </c>
      <c r="B60" s="28" t="n">
        <f aca="false">INT((A60-1)/12)+1</f>
        <v>5</v>
      </c>
      <c r="C60" s="12" t="s">
        <v>462</v>
      </c>
      <c r="D60" s="15" t="n">
        <f aca="false">(1+Допущения!$D$11)^(B60-1)</f>
        <v>1.36048896</v>
      </c>
      <c r="E60" s="15" t="n">
        <f aca="false">(1+Допущения!$D$12)^(B60-1)</f>
        <v>1.31079601</v>
      </c>
      <c r="F60" s="17" t="n">
        <f aca="false">Допущения!$D$71*E60</f>
        <v>3887.1393517348</v>
      </c>
      <c r="G60" s="17" t="n">
        <f aca="false">MIN(G59*(1+Допущения!$D$33),Допущения!$D$34)</f>
        <v>2500000</v>
      </c>
      <c r="H60" s="25" t="n">
        <f aca="false">MIN(Допущения!$D$30,G60/Допущения!$D$29)</f>
        <v>300</v>
      </c>
      <c r="I60" s="25" t="n">
        <f aca="false">MAX(0,G60-H60*Допущения!$D$29)/Допущения!$D$31</f>
        <v>341.666666666667</v>
      </c>
      <c r="J60" s="25" t="n">
        <f aca="false">IF(A60&gt;=Допущения!$D$35,Допущения!$D$36,0)</f>
        <v>40</v>
      </c>
      <c r="K60" s="25" t="n">
        <f aca="false">H60+I60+J60</f>
        <v>681.666666666667</v>
      </c>
      <c r="L60" s="25" t="n">
        <f aca="false">(L59-K59)*(1-Допущения!$D$44)+K59*(1-Допущения!$D$43)+K60</f>
        <v>8493.57300964208</v>
      </c>
      <c r="M60" s="25" t="n">
        <f aca="false">IF(A60&gt;=Допущения!$D$38,Допущения!$D$73/Допущения!$D$42*MIN(Допущения!$D$42,A60-Допущения!$D$38+1),0)</f>
        <v>60</v>
      </c>
      <c r="N60" s="25" t="n">
        <f aca="false">N59*(1-Допущения!$D$45)+M60</f>
        <v>1862.28896194596</v>
      </c>
      <c r="O60" s="25" t="n">
        <f aca="false">L60+N60</f>
        <v>10355.861971588</v>
      </c>
      <c r="P60" s="25" t="n">
        <f aca="false">L60*Допущения!$D$25</f>
        <v>2123.39325241052</v>
      </c>
      <c r="Q60" s="25" t="n">
        <f aca="false">L60*(1-Допущения!$D$25)+N60</f>
        <v>8232.46871917752</v>
      </c>
      <c r="R60" s="17" t="n">
        <f aca="false">MAX(Допущения!$D$18,ROUNDUP(Q60/Допущения!$D$68+P60/Допущения!$D$69,0))</f>
        <v>106</v>
      </c>
      <c r="S60" s="17" t="n">
        <f aca="false">ROUNDUP(R60/Допущения!$D$48,0)</f>
        <v>9</v>
      </c>
      <c r="T60" s="17" t="n">
        <f aca="false">L60*F60/(1+Допущения!$D$6)</f>
        <v>27062050.7234527</v>
      </c>
      <c r="U60" s="17" t="n">
        <f aca="false">N60*Допущения!$D$28*E60/(1+Допущения!$D$6)</f>
        <v>3981763.17390471</v>
      </c>
      <c r="V60" s="17" t="n">
        <f aca="false">O60*Допущения!$D$26*Допущения!$D$27/(1+Допущения!$D$6)</f>
        <v>1273261.7178182</v>
      </c>
      <c r="W60" s="17" t="n">
        <f aca="false">T60+U60+V60</f>
        <v>32317075.6151756</v>
      </c>
      <c r="X60" s="17" t="n">
        <f aca="false">J60*Допущения!$D$37</f>
        <v>20000</v>
      </c>
      <c r="Y60" s="17" t="n">
        <f aca="false">(R60*Допущения!$D$47+S60*Допущения!$D$49)*D60*Допущения!$D$9</f>
        <v>14897109.2239872</v>
      </c>
      <c r="Z60" s="17" t="n">
        <f aca="false">(MAX(0,R60-R59)+R60*Допущения!$D$50/12)*Допущения!$D$51*D60</f>
        <v>347604.92928</v>
      </c>
      <c r="AA60" s="17" t="n">
        <f aca="false">O60*(Допущения!$D$53+Допущения!$D$54)+(L60*F60+N60*Допущения!$D$28*E60)*Допущения!$D$13</f>
        <v>4461611.7728156</v>
      </c>
      <c r="AB60" s="17" t="n">
        <f aca="false">(R60+S60)*Допущения!$D$52</f>
        <v>310500</v>
      </c>
      <c r="AC60" s="17" t="n">
        <f aca="false">SUMPRODUCT(Допущения!$B$84:$B$91,Допущения!$C$84:$C$91,--(Допущения!$D$84:$D$91&lt;=A60))*D60*Допущения!$D$9</f>
        <v>2674748.5051392</v>
      </c>
      <c r="AD60" s="17" t="n">
        <f aca="false">(AC60+Y60)*Допущения!$D$14</f>
        <v>1757185.77291264</v>
      </c>
      <c r="AE60" s="17" t="n">
        <f aca="false">Допущения!$D$55+Допущения!$D$56*O60/1000+Допущения!$D$57</f>
        <v>222846.895772704</v>
      </c>
      <c r="AF60" s="17" t="n">
        <f aca="false">SUMIF(Допущения!$B$95:$B$103,A60,Допущения!$C$95:$C$103)</f>
        <v>0</v>
      </c>
      <c r="AG60" s="17" t="n">
        <v>0</v>
      </c>
      <c r="AH60" s="17" t="n">
        <f aca="false">G60+SUM(X60:AG60)</f>
        <v>27191607.0999074</v>
      </c>
      <c r="AI60" s="17" t="n">
        <f aca="false">W60-AH60</f>
        <v>5125468.51526827</v>
      </c>
      <c r="AJ60" s="17" t="n">
        <f aca="false">AJ59+AI60</f>
        <v>54486070.898785</v>
      </c>
      <c r="AK60" s="17" t="n">
        <f aca="false">O60*Допущения!$D$58*Допущения!$D$59</f>
        <v>341743.445062405</v>
      </c>
      <c r="AL60" s="17" t="n">
        <f aca="false">T60*Допущения!$D$72</f>
        <v>1364473.14572031</v>
      </c>
      <c r="AM60" s="17" t="n">
        <f aca="false">IF(MOD(A60,12)=0,INDEX($F$70:$F$74,B60),0)</f>
        <v>0</v>
      </c>
      <c r="AN60" s="17" t="n">
        <f aca="false">AI60-AM60</f>
        <v>5125468.51526827</v>
      </c>
      <c r="AO60" s="26" t="n">
        <f aca="false">1/(1+Допущения!$D$74)^A60</f>
        <v>0.401961177162772</v>
      </c>
      <c r="AP60" s="21" t="n">
        <f aca="false">IF(AND(A60&gt;Допущения!$D$19,MIN(AI60:AI$65)&gt;0),A60,"")</f>
        <v>55</v>
      </c>
      <c r="AQ60" s="21" t="n">
        <f aca="false">IF(MIN(AJ60:AJ$65)&gt;0,A60,"")</f>
        <v>55</v>
      </c>
    </row>
    <row r="61" customFormat="false" ht="15" hidden="false" customHeight="false" outlineLevel="0" collapsed="false">
      <c r="A61" s="28" t="n">
        <v>56</v>
      </c>
      <c r="B61" s="28" t="n">
        <f aca="false">INT((A61-1)/12)+1</f>
        <v>5</v>
      </c>
      <c r="C61" s="12" t="s">
        <v>462</v>
      </c>
      <c r="D61" s="15" t="n">
        <f aca="false">(1+Допущения!$D$11)^(B61-1)</f>
        <v>1.36048896</v>
      </c>
      <c r="E61" s="15" t="n">
        <f aca="false">(1+Допущения!$D$12)^(B61-1)</f>
        <v>1.31079601</v>
      </c>
      <c r="F61" s="17" t="n">
        <f aca="false">Допущения!$D$71*E61</f>
        <v>3887.1393517348</v>
      </c>
      <c r="G61" s="17" t="n">
        <f aca="false">MIN(G60*(1+Допущения!$D$33),Допущения!$D$34)</f>
        <v>2500000</v>
      </c>
      <c r="H61" s="25" t="n">
        <f aca="false">MIN(Допущения!$D$30,G61/Допущения!$D$29)</f>
        <v>300</v>
      </c>
      <c r="I61" s="25" t="n">
        <f aca="false">MAX(0,G61-H61*Допущения!$D$29)/Допущения!$D$31</f>
        <v>341.666666666667</v>
      </c>
      <c r="J61" s="25" t="n">
        <f aca="false">IF(A61&gt;=Допущения!$D$35,Допущения!$D$36,0)</f>
        <v>40</v>
      </c>
      <c r="K61" s="25" t="n">
        <f aca="false">H61+I61+J61</f>
        <v>681.666666666667</v>
      </c>
      <c r="L61" s="25" t="n">
        <f aca="false">(L60-K60)*(1-Допущения!$D$44)+K60*(1-Допущения!$D$43)+K61</f>
        <v>8536.10862906355</v>
      </c>
      <c r="M61" s="25" t="n">
        <f aca="false">IF(A61&gt;=Допущения!$D$38,Допущения!$D$73/Допущения!$D$42*MIN(Допущения!$D$42,A61-Допущения!$D$38+1),0)</f>
        <v>60</v>
      </c>
      <c r="N61" s="25" t="n">
        <f aca="false">N60*(1-Допущения!$D$45)+M61</f>
        <v>1885.04318270704</v>
      </c>
      <c r="O61" s="25" t="n">
        <f aca="false">L61+N61</f>
        <v>10421.1518117706</v>
      </c>
      <c r="P61" s="25" t="n">
        <f aca="false">L61*Допущения!$D$25</f>
        <v>2134.02715726589</v>
      </c>
      <c r="Q61" s="25" t="n">
        <f aca="false">L61*(1-Допущения!$D$25)+N61</f>
        <v>8287.12465450471</v>
      </c>
      <c r="R61" s="17" t="n">
        <f aca="false">MAX(Допущения!$D$18,ROUNDUP(Q61/Допущения!$D$68+P61/Допущения!$D$69,0))</f>
        <v>107</v>
      </c>
      <c r="S61" s="17" t="n">
        <f aca="false">ROUNDUP(R61/Допущения!$D$48,0)</f>
        <v>9</v>
      </c>
      <c r="T61" s="17" t="n">
        <f aca="false">L61*F61/(1+Допущения!$D$6)</f>
        <v>27197576.8546852</v>
      </c>
      <c r="U61" s="17" t="n">
        <f aca="false">N61*Допущения!$D$28*E61/(1+Допущения!$D$6)</f>
        <v>4030414.01173318</v>
      </c>
      <c r="V61" s="17" t="n">
        <f aca="false">O61*Допущения!$D$26*Допущения!$D$27/(1+Допущения!$D$6)</f>
        <v>1281289.15718491</v>
      </c>
      <c r="W61" s="17" t="n">
        <f aca="false">T61+U61+V61</f>
        <v>32509280.0236033</v>
      </c>
      <c r="X61" s="17" t="n">
        <f aca="false">J61*Допущения!$D$37</f>
        <v>20000</v>
      </c>
      <c r="Y61" s="17" t="n">
        <f aca="false">(R61*Допущения!$D$47+S61*Допущения!$D$49)*D61*Допущения!$D$9</f>
        <v>15021104.1878016</v>
      </c>
      <c r="Z61" s="17" t="n">
        <f aca="false">(MAX(0,R61-R60)+R61*Допущения!$D$50/12)*Допущения!$D$51*D61</f>
        <v>349985.78496</v>
      </c>
      <c r="AA61" s="17" t="n">
        <f aca="false">O61*(Допущения!$D$53+Допущения!$D$54)+(L61*F61+N61*Допущения!$D$28*E61)*Допущения!$D$13</f>
        <v>4489487.09072281</v>
      </c>
      <c r="AB61" s="17" t="n">
        <f aca="false">(R61+S61)*Допущения!$D$52</f>
        <v>313200</v>
      </c>
      <c r="AC61" s="17" t="n">
        <f aca="false">SUMPRODUCT(Допущения!$B$84:$B$91,Допущения!$C$84:$C$91,--(Допущения!$D$84:$D$91&lt;=A61))*D61*Допущения!$D$9</f>
        <v>2674748.5051392</v>
      </c>
      <c r="AD61" s="17" t="n">
        <f aca="false">(AC61+Y61)*Допущения!$D$14</f>
        <v>1769585.26929408</v>
      </c>
      <c r="AE61" s="17" t="n">
        <f aca="false">Допущения!$D$55+Допущения!$D$56*O61/1000+Допущения!$D$57</f>
        <v>223369.214494165</v>
      </c>
      <c r="AF61" s="17" t="n">
        <f aca="false">SUMIF(Допущения!$B$95:$B$103,A61,Допущения!$C$95:$C$103)</f>
        <v>0</v>
      </c>
      <c r="AG61" s="17" t="n">
        <v>0</v>
      </c>
      <c r="AH61" s="17" t="n">
        <f aca="false">G61+SUM(X61:AG61)</f>
        <v>27361480.0524119</v>
      </c>
      <c r="AI61" s="17" t="n">
        <f aca="false">W61-AH61</f>
        <v>5147799.97119142</v>
      </c>
      <c r="AJ61" s="17" t="n">
        <f aca="false">AJ60+AI61</f>
        <v>59633870.8699764</v>
      </c>
      <c r="AK61" s="17" t="n">
        <f aca="false">O61*Допущения!$D$58*Допущения!$D$59</f>
        <v>343898.00978843</v>
      </c>
      <c r="AL61" s="17" t="n">
        <f aca="false">T61*Допущения!$D$72</f>
        <v>1371306.39603455</v>
      </c>
      <c r="AM61" s="17" t="n">
        <f aca="false">IF(MOD(A61,12)=0,INDEX($F$70:$F$74,B61),0)</f>
        <v>0</v>
      </c>
      <c r="AN61" s="17" t="n">
        <f aca="false">AI61-AM61</f>
        <v>5147799.97119142</v>
      </c>
      <c r="AO61" s="26" t="n">
        <f aca="false">1/(1+Допущения!$D$74)^A61</f>
        <v>0.395355201385764</v>
      </c>
      <c r="AP61" s="21" t="n">
        <f aca="false">IF(AND(A61&gt;Допущения!$D$19,MIN(AI61:AI$65)&gt;0),A61,"")</f>
        <v>56</v>
      </c>
      <c r="AQ61" s="21" t="n">
        <f aca="false">IF(MIN(AJ61:AJ$65)&gt;0,A61,"")</f>
        <v>56</v>
      </c>
    </row>
    <row r="62" customFormat="false" ht="15" hidden="false" customHeight="false" outlineLevel="0" collapsed="false">
      <c r="A62" s="28" t="n">
        <v>57</v>
      </c>
      <c r="B62" s="28" t="n">
        <f aca="false">INT((A62-1)/12)+1</f>
        <v>5</v>
      </c>
      <c r="C62" s="12" t="s">
        <v>462</v>
      </c>
      <c r="D62" s="15" t="n">
        <f aca="false">(1+Допущения!$D$11)^(B62-1)</f>
        <v>1.36048896</v>
      </c>
      <c r="E62" s="15" t="n">
        <f aca="false">(1+Допущения!$D$12)^(B62-1)</f>
        <v>1.31079601</v>
      </c>
      <c r="F62" s="17" t="n">
        <f aca="false">Допущения!$D$71*E62</f>
        <v>3887.1393517348</v>
      </c>
      <c r="G62" s="17" t="n">
        <f aca="false">MIN(G61*(1+Допущения!$D$33),Допущения!$D$34)</f>
        <v>2500000</v>
      </c>
      <c r="H62" s="25" t="n">
        <f aca="false">MIN(Допущения!$D$30,G62/Допущения!$D$29)</f>
        <v>300</v>
      </c>
      <c r="I62" s="25" t="n">
        <f aca="false">MAX(0,G62-H62*Допущения!$D$29)/Допущения!$D$31</f>
        <v>341.666666666667</v>
      </c>
      <c r="J62" s="25" t="n">
        <f aca="false">IF(A62&gt;=Допущения!$D$35,Допущения!$D$36,0)</f>
        <v>40</v>
      </c>
      <c r="K62" s="25" t="n">
        <f aca="false">H62+I62+J62</f>
        <v>681.666666666667</v>
      </c>
      <c r="L62" s="25" t="n">
        <f aca="false">(L61-K61)*(1-Допущения!$D$44)+K61*(1-Допущения!$D$43)+K62</f>
        <v>8576.09211131974</v>
      </c>
      <c r="M62" s="25" t="n">
        <f aca="false">IF(A62&gt;=Допущения!$D$38,Допущения!$D$73/Допущения!$D$42*MIN(Допущения!$D$42,A62-Допущения!$D$38+1),0)</f>
        <v>60</v>
      </c>
      <c r="N62" s="25" t="n">
        <f aca="false">N61*(1-Допущения!$D$45)+M62</f>
        <v>1907.3423190529</v>
      </c>
      <c r="O62" s="25" t="n">
        <f aca="false">L62+N62</f>
        <v>10483.4344303726</v>
      </c>
      <c r="P62" s="25" t="n">
        <f aca="false">L62*Допущения!$D$25</f>
        <v>2144.02302782994</v>
      </c>
      <c r="Q62" s="25" t="n">
        <f aca="false">L62*(1-Допущения!$D$25)+N62</f>
        <v>8339.4114025427</v>
      </c>
      <c r="R62" s="17" t="n">
        <f aca="false">MAX(Допущения!$D$18,ROUNDUP(Q62/Допущения!$D$68+P62/Допущения!$D$69,0))</f>
        <v>107</v>
      </c>
      <c r="S62" s="17" t="n">
        <f aca="false">ROUNDUP(R62/Допущения!$D$48,0)</f>
        <v>9</v>
      </c>
      <c r="T62" s="17" t="n">
        <f aca="false">L62*F62/(1+Допущения!$D$6)</f>
        <v>27324971.4180437</v>
      </c>
      <c r="U62" s="17" t="n">
        <f aca="false">N62*Допущения!$D$28*E62/(1+Допущения!$D$6)</f>
        <v>4078091.83280507</v>
      </c>
      <c r="V62" s="17" t="n">
        <f aca="false">O62*Допущения!$D$26*Допущения!$D$27/(1+Допущения!$D$6)</f>
        <v>1288946.85619336</v>
      </c>
      <c r="W62" s="17" t="n">
        <f aca="false">T62+U62+V62</f>
        <v>32692010.1070422</v>
      </c>
      <c r="X62" s="17" t="n">
        <f aca="false">J62*Допущения!$D$37</f>
        <v>20000</v>
      </c>
      <c r="Y62" s="17" t="n">
        <f aca="false">(R62*Допущения!$D$47+S62*Допущения!$D$49)*D62*Допущения!$D$9</f>
        <v>15021104.1878016</v>
      </c>
      <c r="Z62" s="17" t="n">
        <f aca="false">(MAX(0,R62-R61)+R62*Допущения!$D$50/12)*Допущения!$D$51*D62</f>
        <v>254751.55776</v>
      </c>
      <c r="AA62" s="17" t="n">
        <f aca="false">O62*(Допущения!$D$53+Допущения!$D$54)+(L62*F62+N62*Допущения!$D$28*E62)*Допущения!$D$13</f>
        <v>4516064.83607465</v>
      </c>
      <c r="AB62" s="17" t="n">
        <f aca="false">(R62+S62)*Допущения!$D$52</f>
        <v>313200</v>
      </c>
      <c r="AC62" s="17" t="n">
        <f aca="false">SUMPRODUCT(Допущения!$B$84:$B$91,Допущения!$C$84:$C$91,--(Допущения!$D$84:$D$91&lt;=A62))*D62*Допущения!$D$9</f>
        <v>2674748.5051392</v>
      </c>
      <c r="AD62" s="17" t="n">
        <f aca="false">(AC62+Y62)*Допущения!$D$14</f>
        <v>1769585.26929408</v>
      </c>
      <c r="AE62" s="17" t="n">
        <f aca="false">Допущения!$D$55+Допущения!$D$56*O62/1000+Допущения!$D$57</f>
        <v>223867.475442981</v>
      </c>
      <c r="AF62" s="17" t="n">
        <f aca="false">SUMIF(Допущения!$B$95:$B$103,A62,Допущения!$C$95:$C$103)</f>
        <v>0</v>
      </c>
      <c r="AG62" s="17" t="n">
        <v>0</v>
      </c>
      <c r="AH62" s="17" t="n">
        <f aca="false">G62+SUM(X62:AG62)</f>
        <v>27293321.8315125</v>
      </c>
      <c r="AI62" s="17" t="n">
        <f aca="false">W62-AH62</f>
        <v>5398688.27552964</v>
      </c>
      <c r="AJ62" s="17" t="n">
        <f aca="false">AJ61+AI62</f>
        <v>65032559.1455061</v>
      </c>
      <c r="AK62" s="17" t="n">
        <f aca="false">O62*Допущения!$D$58*Допущения!$D$59</f>
        <v>345953.336202297</v>
      </c>
      <c r="AL62" s="17" t="n">
        <f aca="false">T62*Допущения!$D$72</f>
        <v>1377729.65132994</v>
      </c>
      <c r="AM62" s="17" t="n">
        <f aca="false">IF(MOD(A62,12)=0,INDEX($F$70:$F$74,B62),0)</f>
        <v>0</v>
      </c>
      <c r="AN62" s="17" t="n">
        <f aca="false">AI62-AM62</f>
        <v>5398688.27552964</v>
      </c>
      <c r="AO62" s="26" t="n">
        <f aca="false">1/(1+Допущения!$D$74)^A62</f>
        <v>0.388857790610666</v>
      </c>
      <c r="AP62" s="21" t="n">
        <f aca="false">IF(AND(A62&gt;Допущения!$D$19,MIN(AI62:AI$65)&gt;0),A62,"")</f>
        <v>57</v>
      </c>
      <c r="AQ62" s="21" t="n">
        <f aca="false">IF(MIN(AJ62:AJ$65)&gt;0,A62,"")</f>
        <v>57</v>
      </c>
    </row>
    <row r="63" customFormat="false" ht="15" hidden="false" customHeight="false" outlineLevel="0" collapsed="false">
      <c r="A63" s="28" t="n">
        <v>58</v>
      </c>
      <c r="B63" s="28" t="n">
        <f aca="false">INT((A63-1)/12)+1</f>
        <v>5</v>
      </c>
      <c r="C63" s="12" t="s">
        <v>462</v>
      </c>
      <c r="D63" s="15" t="n">
        <f aca="false">(1+Допущения!$D$11)^(B63-1)</f>
        <v>1.36048896</v>
      </c>
      <c r="E63" s="15" t="n">
        <f aca="false">(1+Допущения!$D$12)^(B63-1)</f>
        <v>1.31079601</v>
      </c>
      <c r="F63" s="17" t="n">
        <f aca="false">Допущения!$D$71*E63</f>
        <v>3887.1393517348</v>
      </c>
      <c r="G63" s="17" t="n">
        <f aca="false">MIN(G62*(1+Допущения!$D$33),Допущения!$D$34)</f>
        <v>2500000</v>
      </c>
      <c r="H63" s="25" t="n">
        <f aca="false">MIN(Допущения!$D$30,G63/Допущения!$D$29)</f>
        <v>300</v>
      </c>
      <c r="I63" s="25" t="n">
        <f aca="false">MAX(0,G63-H63*Допущения!$D$29)/Допущения!$D$31</f>
        <v>341.666666666667</v>
      </c>
      <c r="J63" s="25" t="n">
        <f aca="false">IF(A63&gt;=Допущения!$D$35,Допущения!$D$36,0)</f>
        <v>40</v>
      </c>
      <c r="K63" s="25" t="n">
        <f aca="false">H63+I63+J63</f>
        <v>681.666666666667</v>
      </c>
      <c r="L63" s="25" t="n">
        <f aca="false">(L62-K62)*(1-Допущения!$D$44)+K62*(1-Допущения!$D$43)+K63</f>
        <v>8613.67658464055</v>
      </c>
      <c r="M63" s="25" t="n">
        <f aca="false">IF(A63&gt;=Допущения!$D$38,Допущения!$D$73/Допущения!$D$42*MIN(Допущения!$D$42,A63-Допущения!$D$38+1),0)</f>
        <v>60</v>
      </c>
      <c r="N63" s="25" t="n">
        <f aca="false">N62*(1-Допущения!$D$45)+M63</f>
        <v>1929.19547267184</v>
      </c>
      <c r="O63" s="25" t="n">
        <f aca="false">L63+N63</f>
        <v>10542.8720573124</v>
      </c>
      <c r="P63" s="25" t="n">
        <f aca="false">L63*Допущения!$D$25</f>
        <v>2153.41914616014</v>
      </c>
      <c r="Q63" s="25" t="n">
        <f aca="false">L63*(1-Допущения!$D$25)+N63</f>
        <v>8389.45291115226</v>
      </c>
      <c r="R63" s="17" t="n">
        <f aca="false">MAX(Допущения!$D$18,ROUNDUP(Q63/Допущения!$D$68+P63/Допущения!$D$69,0))</f>
        <v>108</v>
      </c>
      <c r="S63" s="17" t="n">
        <f aca="false">ROUNDUP(R63/Допущения!$D$48,0)</f>
        <v>9</v>
      </c>
      <c r="T63" s="17" t="n">
        <f aca="false">L63*F63/(1+Допущения!$D$6)</f>
        <v>27444722.3076008</v>
      </c>
      <c r="U63" s="17" t="n">
        <f aca="false">N63*Допущения!$D$28*E63/(1+Допущения!$D$6)</f>
        <v>4124816.09745553</v>
      </c>
      <c r="V63" s="17" t="n">
        <f aca="false">O63*Допущения!$D$26*Допущения!$D$27/(1+Допущения!$D$6)</f>
        <v>1296254.76114497</v>
      </c>
      <c r="W63" s="17" t="n">
        <f aca="false">T63+U63+V63</f>
        <v>32865793.1662012</v>
      </c>
      <c r="X63" s="17" t="n">
        <f aca="false">J63*Допущения!$D$37</f>
        <v>20000</v>
      </c>
      <c r="Y63" s="17" t="n">
        <f aca="false">(R63*Допущения!$D$47+S63*Допущения!$D$49)*D63*Допущения!$D$9</f>
        <v>15145099.151616</v>
      </c>
      <c r="Z63" s="17" t="n">
        <f aca="false">(MAX(0,R63-R62)+R63*Допущения!$D$50/12)*Допущения!$D$51*D63</f>
        <v>352366.64064</v>
      </c>
      <c r="AA63" s="17" t="n">
        <f aca="false">O63*(Допущения!$D$53+Допущения!$D$54)+(L63*F63+N63*Допущения!$D$28*E63)*Допущения!$D$13</f>
        <v>4541415.36429406</v>
      </c>
      <c r="AB63" s="17" t="n">
        <f aca="false">(R63+S63)*Допущения!$D$52</f>
        <v>315900</v>
      </c>
      <c r="AC63" s="17" t="n">
        <f aca="false">SUMPRODUCT(Допущения!$B$84:$B$91,Допущения!$C$84:$C$91,--(Допущения!$D$84:$D$91&lt;=A63))*D63*Допущения!$D$9</f>
        <v>2674748.5051392</v>
      </c>
      <c r="AD63" s="17" t="n">
        <f aca="false">(AC63+Y63)*Допущения!$D$14</f>
        <v>1781984.76567552</v>
      </c>
      <c r="AE63" s="17" t="n">
        <f aca="false">Допущения!$D$55+Допущения!$D$56*O63/1000+Допущения!$D$57</f>
        <v>224342.976458499</v>
      </c>
      <c r="AF63" s="17" t="n">
        <f aca="false">SUMIF(Допущения!$B$95:$B$103,A63,Допущения!$C$95:$C$103)</f>
        <v>0</v>
      </c>
      <c r="AG63" s="17" t="n">
        <v>0</v>
      </c>
      <c r="AH63" s="17" t="n">
        <f aca="false">G63+SUM(X63:AG63)</f>
        <v>27555857.4038233</v>
      </c>
      <c r="AI63" s="17" t="n">
        <f aca="false">W63-AH63</f>
        <v>5309935.76237796</v>
      </c>
      <c r="AJ63" s="17" t="n">
        <f aca="false">AJ62+AI63</f>
        <v>70342494.907884</v>
      </c>
      <c r="AK63" s="17" t="n">
        <f aca="false">O63*Допущения!$D$58*Допущения!$D$59</f>
        <v>347914.777891309</v>
      </c>
      <c r="AL63" s="17" t="n">
        <f aca="false">T63*Допущения!$D$72</f>
        <v>1383767.5113076</v>
      </c>
      <c r="AM63" s="17" t="n">
        <f aca="false">IF(MOD(A63,12)=0,INDEX($F$70:$F$74,B63),0)</f>
        <v>0</v>
      </c>
      <c r="AN63" s="17" t="n">
        <f aca="false">AI63-AM63</f>
        <v>5309935.76237796</v>
      </c>
      <c r="AO63" s="26" t="n">
        <f aca="false">1/(1+Допущения!$D$74)^A63</f>
        <v>0.38246716064086</v>
      </c>
      <c r="AP63" s="21" t="n">
        <f aca="false">IF(AND(A63&gt;Допущения!$D$19,MIN(AI63:AI$65)&gt;0),A63,"")</f>
        <v>58</v>
      </c>
      <c r="AQ63" s="21" t="n">
        <f aca="false">IF(MIN(AJ63:AJ$65)&gt;0,A63,"")</f>
        <v>58</v>
      </c>
    </row>
    <row r="64" customFormat="false" ht="15" hidden="false" customHeight="false" outlineLevel="0" collapsed="false">
      <c r="A64" s="28" t="n">
        <v>59</v>
      </c>
      <c r="B64" s="28" t="n">
        <f aca="false">INT((A64-1)/12)+1</f>
        <v>5</v>
      </c>
      <c r="C64" s="12" t="s">
        <v>462</v>
      </c>
      <c r="D64" s="15" t="n">
        <f aca="false">(1+Допущения!$D$11)^(B64-1)</f>
        <v>1.36048896</v>
      </c>
      <c r="E64" s="15" t="n">
        <f aca="false">(1+Допущения!$D$12)^(B64-1)</f>
        <v>1.31079601</v>
      </c>
      <c r="F64" s="17" t="n">
        <f aca="false">Допущения!$D$71*E64</f>
        <v>3887.1393517348</v>
      </c>
      <c r="G64" s="17" t="n">
        <f aca="false">MIN(G63*(1+Допущения!$D$33),Допущения!$D$34)</f>
        <v>2500000</v>
      </c>
      <c r="H64" s="25" t="n">
        <f aca="false">MIN(Допущения!$D$30,G64/Допущения!$D$29)</f>
        <v>300</v>
      </c>
      <c r="I64" s="25" t="n">
        <f aca="false">MAX(0,G64-H64*Допущения!$D$29)/Допущения!$D$31</f>
        <v>341.666666666667</v>
      </c>
      <c r="J64" s="25" t="n">
        <f aca="false">IF(A64&gt;=Допущения!$D$35,Допущения!$D$36,0)</f>
        <v>40</v>
      </c>
      <c r="K64" s="25" t="n">
        <f aca="false">H64+I64+J64</f>
        <v>681.666666666667</v>
      </c>
      <c r="L64" s="25" t="n">
        <f aca="false">(L63-K63)*(1-Допущения!$D$44)+K63*(1-Допущения!$D$43)+K64</f>
        <v>8649.00598956212</v>
      </c>
      <c r="M64" s="25" t="n">
        <f aca="false">IF(A64&gt;=Допущения!$D$38,Допущения!$D$73/Допущения!$D$42*MIN(Допущения!$D$42,A64-Допущения!$D$38+1),0)</f>
        <v>60</v>
      </c>
      <c r="N64" s="25" t="n">
        <f aca="false">N63*(1-Допущения!$D$45)+M64</f>
        <v>1950.6115632184</v>
      </c>
      <c r="O64" s="25" t="n">
        <f aca="false">L64+N64</f>
        <v>10599.6175527805</v>
      </c>
      <c r="P64" s="25" t="n">
        <f aca="false">L64*Допущения!$D$25</f>
        <v>2162.25149739053</v>
      </c>
      <c r="Q64" s="25" t="n">
        <f aca="false">L64*(1-Допущения!$D$25)+N64</f>
        <v>8437.36605538999</v>
      </c>
      <c r="R64" s="17" t="n">
        <f aca="false">MAX(Допущения!$D$18,ROUNDUP(Q64/Допущения!$D$68+P64/Допущения!$D$69,0))</f>
        <v>108</v>
      </c>
      <c r="S64" s="17" t="n">
        <f aca="false">ROUNDUP(R64/Допущения!$D$48,0)</f>
        <v>9</v>
      </c>
      <c r="T64" s="17" t="n">
        <f aca="false">L64*F64/(1+Допущения!$D$6)</f>
        <v>27557288.1437844</v>
      </c>
      <c r="U64" s="17" t="n">
        <f aca="false">N64*Допущения!$D$28*E64/(1+Допущения!$D$6)</f>
        <v>4170605.87681297</v>
      </c>
      <c r="V64" s="17" t="n">
        <f aca="false">O64*Допущения!$D$26*Допущения!$D$27/(1+Допущения!$D$6)</f>
        <v>1303231.66632547</v>
      </c>
      <c r="W64" s="17" t="n">
        <f aca="false">T64+U64+V64</f>
        <v>33031125.6869228</v>
      </c>
      <c r="X64" s="17" t="n">
        <f aca="false">J64*Допущения!$D$37</f>
        <v>20000</v>
      </c>
      <c r="Y64" s="17" t="n">
        <f aca="false">(R64*Допущения!$D$47+S64*Допущения!$D$49)*D64*Допущения!$D$9</f>
        <v>15145099.151616</v>
      </c>
      <c r="Z64" s="17" t="n">
        <f aca="false">(MAX(0,R64-R63)+R64*Допущения!$D$50/12)*Допущения!$D$51*D64</f>
        <v>257132.41344</v>
      </c>
      <c r="AA64" s="17" t="n">
        <f aca="false">O64*(Допущения!$D$53+Допущения!$D$54)+(L64*F64+N64*Допущения!$D$28*E64)*Допущения!$D$13</f>
        <v>4565604.95945721</v>
      </c>
      <c r="AB64" s="17" t="n">
        <f aca="false">(R64+S64)*Допущения!$D$52</f>
        <v>315900</v>
      </c>
      <c r="AC64" s="17" t="n">
        <f aca="false">SUMPRODUCT(Допущения!$B$84:$B$91,Допущения!$C$84:$C$91,--(Допущения!$D$84:$D$91&lt;=A64))*D64*Допущения!$D$9</f>
        <v>2674748.5051392</v>
      </c>
      <c r="AD64" s="17" t="n">
        <f aca="false">(AC64+Y64)*Допущения!$D$14</f>
        <v>1781984.76567552</v>
      </c>
      <c r="AE64" s="17" t="n">
        <f aca="false">Допущения!$D$55+Допущения!$D$56*O64/1000+Допущения!$D$57</f>
        <v>224796.940422244</v>
      </c>
      <c r="AF64" s="17" t="n">
        <f aca="false">SUMIF(Допущения!$B$95:$B$103,A64,Допущения!$C$95:$C$103)</f>
        <v>0</v>
      </c>
      <c r="AG64" s="17" t="n">
        <v>0</v>
      </c>
      <c r="AH64" s="17" t="n">
        <f aca="false">G64+SUM(X64:AG64)</f>
        <v>27485266.7357502</v>
      </c>
      <c r="AI64" s="17" t="n">
        <f aca="false">W64-AH64</f>
        <v>5545858.95117262</v>
      </c>
      <c r="AJ64" s="17" t="n">
        <f aca="false">AJ63+AI64</f>
        <v>75888353.8590567</v>
      </c>
      <c r="AK64" s="17" t="n">
        <f aca="false">O64*Допущения!$D$58*Допущения!$D$59</f>
        <v>349787.379241757</v>
      </c>
      <c r="AL64" s="17" t="n">
        <f aca="false">T64*Допущения!$D$72</f>
        <v>1389443.09968661</v>
      </c>
      <c r="AM64" s="17" t="n">
        <f aca="false">IF(MOD(A64,12)=0,INDEX($F$70:$F$74,B64),0)</f>
        <v>0</v>
      </c>
      <c r="AN64" s="17" t="n">
        <f aca="false">AI64-AM64</f>
        <v>5545858.95117262</v>
      </c>
      <c r="AO64" s="26" t="n">
        <f aca="false">1/(1+Допущения!$D$74)^A64</f>
        <v>0.376181556601862</v>
      </c>
      <c r="AP64" s="21" t="n">
        <f aca="false">IF(AND(A64&gt;Допущения!$D$19,MIN(AI64:AI$65)&gt;0),A64,"")</f>
        <v>59</v>
      </c>
      <c r="AQ64" s="21" t="n">
        <f aca="false">IF(MIN(AJ64:AJ$65)&gt;0,A64,"")</f>
        <v>59</v>
      </c>
    </row>
    <row r="65" customFormat="false" ht="15" hidden="false" customHeight="false" outlineLevel="0" collapsed="false">
      <c r="A65" s="28" t="n">
        <v>60</v>
      </c>
      <c r="B65" s="28" t="n">
        <f aca="false">INT((A65-1)/12)+1</f>
        <v>5</v>
      </c>
      <c r="C65" s="12" t="s">
        <v>462</v>
      </c>
      <c r="D65" s="15" t="n">
        <f aca="false">(1+Допущения!$D$11)^(B65-1)</f>
        <v>1.36048896</v>
      </c>
      <c r="E65" s="15" t="n">
        <f aca="false">(1+Допущения!$D$12)^(B65-1)</f>
        <v>1.31079601</v>
      </c>
      <c r="F65" s="17" t="n">
        <f aca="false">Допущения!$D$71*E65</f>
        <v>3887.1393517348</v>
      </c>
      <c r="G65" s="17" t="n">
        <f aca="false">MIN(G64*(1+Допущения!$D$33),Допущения!$D$34)</f>
        <v>2500000</v>
      </c>
      <c r="H65" s="25" t="n">
        <f aca="false">MIN(Допущения!$D$30,G65/Допущения!$D$29)</f>
        <v>300</v>
      </c>
      <c r="I65" s="25" t="n">
        <f aca="false">MAX(0,G65-H65*Допущения!$D$29)/Допущения!$D$31</f>
        <v>341.666666666667</v>
      </c>
      <c r="J65" s="25" t="n">
        <f aca="false">IF(A65&gt;=Допущения!$D$35,Допущения!$D$36,0)</f>
        <v>40</v>
      </c>
      <c r="K65" s="25" t="n">
        <f aca="false">H65+I65+J65</f>
        <v>681.666666666667</v>
      </c>
      <c r="L65" s="25" t="n">
        <f aca="false">(L64-K64)*(1-Допущения!$D$44)+K64*(1-Допущения!$D$43)+K65</f>
        <v>8682.21563018839</v>
      </c>
      <c r="M65" s="25" t="n">
        <f aca="false">IF(A65&gt;=Допущения!$D$38,Допущения!$D$73/Допущения!$D$42*MIN(Допущения!$D$42,A65-Допущения!$D$38+1),0)</f>
        <v>60</v>
      </c>
      <c r="N65" s="25" t="n">
        <f aca="false">N64*(1-Допущения!$D$45)+M65</f>
        <v>1971.59933195404</v>
      </c>
      <c r="O65" s="25" t="n">
        <f aca="false">L65+N65</f>
        <v>10653.8149621424</v>
      </c>
      <c r="P65" s="25" t="n">
        <f aca="false">L65*Допущения!$D$25</f>
        <v>2170.5539075471</v>
      </c>
      <c r="Q65" s="25" t="n">
        <f aca="false">L65*(1-Допущения!$D$25)+N65</f>
        <v>8483.26105459533</v>
      </c>
      <c r="R65" s="17" t="n">
        <f aca="false">MAX(Допущения!$D$18,ROUNDUP(Q65/Допущения!$D$68+P65/Допущения!$D$69,0))</f>
        <v>109</v>
      </c>
      <c r="S65" s="17" t="n">
        <f aca="false">ROUNDUP(R65/Допущения!$D$48,0)</f>
        <v>10</v>
      </c>
      <c r="T65" s="17" t="n">
        <f aca="false">L65*F65/(1+Допущения!$D$6)</f>
        <v>27663100.0297969</v>
      </c>
      <c r="U65" s="17" t="n">
        <f aca="false">N65*Допущения!$D$28*E65/(1+Допущения!$D$6)</f>
        <v>4215479.86058327</v>
      </c>
      <c r="V65" s="17" t="n">
        <f aca="false">O65*Допущения!$D$26*Допущения!$D$27/(1+Допущения!$D$6)</f>
        <v>1309895.28223063</v>
      </c>
      <c r="W65" s="17" t="n">
        <f aca="false">T65+U65+V65</f>
        <v>33188475.1726108</v>
      </c>
      <c r="X65" s="17" t="n">
        <f aca="false">J65*Допущения!$D$37</f>
        <v>20000</v>
      </c>
      <c r="Y65" s="17" t="n">
        <f aca="false">(R65*Допущения!$D$47+S65*Допущения!$D$49)*D65*Допущения!$D$9</f>
        <v>15463943.3442816</v>
      </c>
      <c r="Z65" s="17" t="n">
        <f aca="false">(MAX(0,R65-R64)+R65*Допущения!$D$50/12)*Допущения!$D$51*D65</f>
        <v>354747.49632</v>
      </c>
      <c r="AA65" s="17" t="n">
        <f aca="false">O65*(Допущения!$D$53+Допущения!$D$54)+(L65*F65+N65*Допущения!$D$28*E65)*Допущения!$D$13</f>
        <v>4588696.07557474</v>
      </c>
      <c r="AB65" s="17" t="n">
        <f aca="false">(R65+S65)*Допущения!$D$52</f>
        <v>321300</v>
      </c>
      <c r="AC65" s="17" t="n">
        <f aca="false">SUMPRODUCT(Допущения!$B$84:$B$91,Допущения!$C$84:$C$91,--(Допущения!$D$84:$D$91&lt;=A65))*D65*Допущения!$D$9</f>
        <v>2674748.5051392</v>
      </c>
      <c r="AD65" s="17" t="n">
        <f aca="false">(AC65+Y65)*Допущения!$D$14</f>
        <v>1813869.18494208</v>
      </c>
      <c r="AE65" s="17" t="n">
        <f aca="false">Допущения!$D$55+Допущения!$D$56*O65/1000+Допущения!$D$57</f>
        <v>225230.519697139</v>
      </c>
      <c r="AF65" s="17" t="n">
        <f aca="false">SUMIF(Допущения!$B$95:$B$103,A65,Допущения!$C$95:$C$103)</f>
        <v>0</v>
      </c>
      <c r="AG65" s="17" t="n">
        <v>0</v>
      </c>
      <c r="AH65" s="17" t="n">
        <f aca="false">G65+SUM(X65:AG65)</f>
        <v>27962535.1259548</v>
      </c>
      <c r="AI65" s="17" t="n">
        <f aca="false">W65-AH65</f>
        <v>5225940.04665607</v>
      </c>
      <c r="AJ65" s="17" t="n">
        <f aca="false">AJ64+AI65</f>
        <v>81114293.9057127</v>
      </c>
      <c r="AK65" s="17" t="n">
        <f aca="false">O65*Допущения!$D$58*Допущения!$D$59</f>
        <v>351575.8937507</v>
      </c>
      <c r="AL65" s="17" t="n">
        <f aca="false">T65*Допущения!$D$72</f>
        <v>1394778.15276287</v>
      </c>
      <c r="AM65" s="17" t="n">
        <f aca="false">IF(MOD(A65,12)=0,INDEX($F$70:$F$74,B65),0)</f>
        <v>13697557.5873718</v>
      </c>
      <c r="AN65" s="17" t="n">
        <f aca="false">AI65-AM65</f>
        <v>-8471617.54071572</v>
      </c>
      <c r="AO65" s="26" t="n">
        <f aca="false">1/(1+Допущения!$D$74)^A65</f>
        <v>0.369999252459433</v>
      </c>
      <c r="AP65" s="21" t="n">
        <f aca="false">IF(AND(A65&gt;Допущения!$D$19,MIN(AI65:AI$65)&gt;0),A65,"")</f>
        <v>60</v>
      </c>
      <c r="AQ65" s="21" t="n">
        <f aca="false">IF(MIN(AJ65:AJ$65)&gt;0,A65,"")</f>
        <v>60</v>
      </c>
    </row>
    <row r="68" customFormat="false" ht="15" hidden="false" customHeight="false" outlineLevel="0" collapsed="false">
      <c r="A68" s="6" t="s">
        <v>463</v>
      </c>
    </row>
    <row r="69" customFormat="false" ht="48" hidden="false" customHeight="true" outlineLevel="0" collapsed="false">
      <c r="A69" s="11" t="s">
        <v>419</v>
      </c>
      <c r="B69" s="11" t="s">
        <v>464</v>
      </c>
      <c r="C69" s="11" t="s">
        <v>452</v>
      </c>
      <c r="D69" s="11" t="s">
        <v>465</v>
      </c>
      <c r="E69" s="11" t="s">
        <v>466</v>
      </c>
      <c r="F69" s="11" t="s">
        <v>456</v>
      </c>
      <c r="G69" s="11" t="s">
        <v>467</v>
      </c>
      <c r="H69" s="11" t="s">
        <v>468</v>
      </c>
    </row>
    <row r="70" customFormat="false" ht="15" hidden="false" customHeight="false" outlineLevel="0" collapsed="false">
      <c r="A70" s="28" t="n">
        <v>1</v>
      </c>
      <c r="B70" s="17" t="n">
        <f aca="false">SUMIF($B$6:$B$65,A70,$W$6:$W$65)</f>
        <v>31496601.5556457</v>
      </c>
      <c r="C70" s="17" t="n">
        <f aca="false">SUMIF($B$6:$B$65,A70,$AI$6:$AI$65)</f>
        <v>-24976438.9462082</v>
      </c>
      <c r="D70" s="17" t="n">
        <v>0</v>
      </c>
      <c r="E70" s="17" t="n">
        <f aca="false">IF(C70&gt;0,MIN(D70,C70*Допущения!$D$8),0)</f>
        <v>0</v>
      </c>
      <c r="F70" s="17" t="n">
        <f aca="false">IF(C70&gt;0,(C70-E70)*Допущения!$D$7,0)</f>
        <v>0</v>
      </c>
      <c r="G70" s="17" t="n">
        <f aca="false">D70+IF(C70&lt;0,-C70,0)-E70</f>
        <v>24976438.9462082</v>
      </c>
      <c r="H70" s="17" t="n">
        <f aca="false">SUMIF($B$6:$B$65,A70,$AK$6:$AK$65)</f>
        <v>412171.642689717</v>
      </c>
    </row>
    <row r="71" customFormat="false" ht="15" hidden="false" customHeight="false" outlineLevel="0" collapsed="false">
      <c r="A71" s="28" t="n">
        <v>2</v>
      </c>
      <c r="B71" s="17" t="n">
        <f aca="false">SUMIF($B$6:$B$65,A71,$W$6:$W$65)</f>
        <v>124895032.197818</v>
      </c>
      <c r="C71" s="17" t="n">
        <f aca="false">SUMIF($B$6:$B$65,A71,$AI$6:$AI$65)</f>
        <v>-7556528.89624932</v>
      </c>
      <c r="D71" s="17" t="n">
        <f aca="false">G70</f>
        <v>24976438.9462082</v>
      </c>
      <c r="E71" s="17" t="n">
        <f aca="false">IF(C71&gt;0,MIN(D71,C71*Допущения!$D$8),0)</f>
        <v>0</v>
      </c>
      <c r="F71" s="17" t="n">
        <f aca="false">IF(C71&gt;0,(C71-E71)*Допущения!$D$7,0)</f>
        <v>0</v>
      </c>
      <c r="G71" s="17" t="n">
        <f aca="false">D71+IF(C71&lt;0,-C71,0)-E71</f>
        <v>32532967.8424575</v>
      </c>
      <c r="H71" s="17" t="n">
        <f aca="false">SUMIF($B$6:$B$65,A71,$AK$6:$AK$65)</f>
        <v>1589743.38182393</v>
      </c>
    </row>
    <row r="72" customFormat="false" ht="15" hidden="false" customHeight="false" outlineLevel="0" collapsed="false">
      <c r="A72" s="28" t="n">
        <v>3</v>
      </c>
      <c r="B72" s="17" t="n">
        <f aca="false">SUMIF($B$6:$B$65,A72,$W$6:$W$65)</f>
        <v>232876909.399079</v>
      </c>
      <c r="C72" s="17" t="n">
        <f aca="false">SUMIF($B$6:$B$65,A72,$AI$6:$AI$65)</f>
        <v>12184223.4150368</v>
      </c>
      <c r="D72" s="17" t="n">
        <f aca="false">G71</f>
        <v>32532967.8424575</v>
      </c>
      <c r="E72" s="17" t="n">
        <f aca="false">IF(C72&gt;0,MIN(D72,C72*Допущения!$D$8),0)</f>
        <v>6092111.70751841</v>
      </c>
      <c r="F72" s="17" t="n">
        <f aca="false">IF(C72&gt;0,(C72-E72)*Допущения!$D$7,0)</f>
        <v>1523027.9268796</v>
      </c>
      <c r="G72" s="17" t="n">
        <f aca="false">D72+IF(C72&lt;0,-C72,0)-E72</f>
        <v>26440856.1349391</v>
      </c>
      <c r="H72" s="17" t="n">
        <f aca="false">SUMIF($B$6:$B$65,A72,$AK$6:$AK$65)</f>
        <v>2785470.13169265</v>
      </c>
    </row>
    <row r="73" customFormat="false" ht="15" hidden="false" customHeight="false" outlineLevel="0" collapsed="false">
      <c r="A73" s="28" t="n">
        <v>4</v>
      </c>
      <c r="B73" s="17" t="n">
        <f aca="false">SUMIF($B$6:$B$65,A73,$W$6:$W$65)</f>
        <v>322922125.23119</v>
      </c>
      <c r="C73" s="17" t="n">
        <f aca="false">SUMIF($B$6:$B$65,A73,$AI$6:$AI$65)</f>
        <v>40463903.6974143</v>
      </c>
      <c r="D73" s="17" t="n">
        <f aca="false">G72</f>
        <v>26440856.1349391</v>
      </c>
      <c r="E73" s="17" t="n">
        <f aca="false">IF(C73&gt;0,MIN(D73,C73*Допущения!$D$8),0)</f>
        <v>20231951.8487071</v>
      </c>
      <c r="F73" s="17" t="n">
        <f aca="false">IF(C73&gt;0,(C73-E73)*Допущения!$D$7,0)</f>
        <v>5057987.96217679</v>
      </c>
      <c r="G73" s="17" t="n">
        <f aca="false">D73+IF(C73&lt;0,-C73,0)-E73</f>
        <v>6208904.28623193</v>
      </c>
      <c r="H73" s="17" t="n">
        <f aca="false">SUMIF($B$6:$B$65,A73,$AK$6:$AK$65)</f>
        <v>3628427.84105547</v>
      </c>
    </row>
    <row r="74" customFormat="false" ht="15" hidden="false" customHeight="false" outlineLevel="0" collapsed="false">
      <c r="A74" s="28" t="n">
        <v>5</v>
      </c>
      <c r="B74" s="17" t="n">
        <f aca="false">SUMIF($B$6:$B$65,A74,$W$6:$W$65)</f>
        <v>385864210.729478</v>
      </c>
      <c r="C74" s="17" t="n">
        <f aca="false">SUMIF($B$6:$B$65,A74,$AI$6:$AI$65)</f>
        <v>60999134.6357191</v>
      </c>
      <c r="D74" s="17" t="n">
        <f aca="false">G73</f>
        <v>6208904.28623193</v>
      </c>
      <c r="E74" s="17" t="n">
        <f aca="false">IF(C74&gt;0,MIN(D74,C74*Допущения!$D$8),0)</f>
        <v>6208904.28623193</v>
      </c>
      <c r="F74" s="17" t="n">
        <f aca="false">IF(C74&gt;0,(C74-E74)*Допущения!$D$7,0)</f>
        <v>13697557.5873718</v>
      </c>
      <c r="G74" s="17" t="n">
        <f aca="false">D74+IF(C74&lt;0,-C74,0)-E74</f>
        <v>0</v>
      </c>
      <c r="H74" s="17" t="n">
        <f aca="false">SUMIF($B$6:$B$65,A74,$AK$6:$AK$65)</f>
        <v>4079768.4175282</v>
      </c>
    </row>
    <row r="75" customFormat="false" ht="15" hidden="false" customHeight="false" outlineLevel="0" collapsed="false">
      <c r="A75" s="3" t="s">
        <v>212</v>
      </c>
      <c r="B75" s="30" t="n">
        <f aca="false">SUM(B70:B74)</f>
        <v>1098054879.11321</v>
      </c>
      <c r="C75" s="30" t="n">
        <f aca="false">SUM(C70:C74)</f>
        <v>81114293.9057127</v>
      </c>
      <c r="D75" s="4"/>
      <c r="E75" s="4"/>
      <c r="F75" s="30" t="n">
        <f aca="false">SUM(F70:F74)</f>
        <v>20278573.4764282</v>
      </c>
      <c r="G75" s="4"/>
      <c r="H75" s="30" t="n">
        <f aca="false">SUM(H70:H74)</f>
        <v>12495581.41479</v>
      </c>
    </row>
  </sheetData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&amp;C&amp;"Times New Roman"Лист &amp;P из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5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18" min="11" style="0" width="10"/>
    <col collapsed="false" customWidth="true" hidden="false" outlineLevel="0" max="19" min="19" style="0" width="9"/>
    <col collapsed="false" customWidth="true" hidden="false" outlineLevel="0" max="21" min="20" style="0" width="13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25" min="25" style="0" width="13"/>
    <col collapsed="false" customWidth="true" hidden="false" outlineLevel="0" max="27" min="26" style="0" width="12"/>
    <col collapsed="false" customWidth="true" hidden="false" outlineLevel="0" max="28" min="28" style="0" width="11"/>
    <col collapsed="false" customWidth="true" hidden="false" outlineLevel="0" max="29" min="29" style="0" width="13"/>
    <col collapsed="false" customWidth="true" hidden="false" outlineLevel="0" max="33" min="30" style="0" width="12"/>
    <col collapsed="false" customWidth="true" hidden="false" outlineLevel="0" max="35" min="34" style="0" width="13"/>
    <col collapsed="false" customWidth="true" hidden="false" outlineLevel="0" max="36" min="36" style="0" width="14"/>
    <col collapsed="false" customWidth="true" hidden="false" outlineLevel="0" max="39" min="37" style="0" width="12"/>
    <col collapsed="false" customWidth="true" hidden="false" outlineLevel="0" max="40" min="40" style="0" width="13"/>
    <col collapsed="false" customWidth="true" hidden="false" outlineLevel="0" max="43" min="41" style="0" width="11"/>
  </cols>
  <sheetData>
    <row r="1" customFormat="false" ht="17.35" hidden="false" customHeight="false" outlineLevel="0" collapsed="false">
      <c r="A1" s="10" t="s">
        <v>470</v>
      </c>
    </row>
    <row r="2" customFormat="false" ht="15" hidden="false" customHeight="false" outlineLevel="0" collapsed="false">
      <c r="A2" s="2" t="s">
        <v>418</v>
      </c>
    </row>
    <row r="5" customFormat="false" ht="61.5" hidden="false" customHeight="true" outlineLevel="0" collapsed="false">
      <c r="A5" s="11" t="s">
        <v>207</v>
      </c>
      <c r="B5" s="11" t="s">
        <v>419</v>
      </c>
      <c r="C5" s="11" t="s">
        <v>420</v>
      </c>
      <c r="D5" s="11" t="s">
        <v>421</v>
      </c>
      <c r="E5" s="11" t="s">
        <v>422</v>
      </c>
      <c r="F5" s="11" t="s">
        <v>423</v>
      </c>
      <c r="G5" s="11" t="s">
        <v>424</v>
      </c>
      <c r="H5" s="11" t="s">
        <v>425</v>
      </c>
      <c r="I5" s="11" t="s">
        <v>426</v>
      </c>
      <c r="J5" s="11" t="s">
        <v>427</v>
      </c>
      <c r="K5" s="11" t="s">
        <v>428</v>
      </c>
      <c r="L5" s="11" t="s">
        <v>429</v>
      </c>
      <c r="M5" s="11" t="s">
        <v>430</v>
      </c>
      <c r="N5" s="11" t="s">
        <v>431</v>
      </c>
      <c r="O5" s="11" t="s">
        <v>432</v>
      </c>
      <c r="P5" s="11" t="s">
        <v>433</v>
      </c>
      <c r="Q5" s="11" t="s">
        <v>434</v>
      </c>
      <c r="R5" s="11" t="s">
        <v>435</v>
      </c>
      <c r="S5" s="11" t="s">
        <v>436</v>
      </c>
      <c r="T5" s="11" t="s">
        <v>437</v>
      </c>
      <c r="U5" s="11" t="s">
        <v>438</v>
      </c>
      <c r="V5" s="11" t="s">
        <v>439</v>
      </c>
      <c r="W5" s="11" t="s">
        <v>440</v>
      </c>
      <c r="X5" s="11" t="s">
        <v>441</v>
      </c>
      <c r="Y5" s="11" t="s">
        <v>442</v>
      </c>
      <c r="Z5" s="11" t="s">
        <v>443</v>
      </c>
      <c r="AA5" s="11" t="s">
        <v>444</v>
      </c>
      <c r="AB5" s="11" t="s">
        <v>445</v>
      </c>
      <c r="AC5" s="11" t="s">
        <v>446</v>
      </c>
      <c r="AD5" s="11" t="s">
        <v>447</v>
      </c>
      <c r="AE5" s="11" t="s">
        <v>448</v>
      </c>
      <c r="AF5" s="11" t="s">
        <v>449</v>
      </c>
      <c r="AG5" s="11" t="s">
        <v>450</v>
      </c>
      <c r="AH5" s="11" t="s">
        <v>451</v>
      </c>
      <c r="AI5" s="11" t="s">
        <v>452</v>
      </c>
      <c r="AJ5" s="11" t="s">
        <v>453</v>
      </c>
      <c r="AK5" s="11" t="s">
        <v>454</v>
      </c>
      <c r="AL5" s="11" t="s">
        <v>455</v>
      </c>
      <c r="AM5" s="11" t="s">
        <v>456</v>
      </c>
      <c r="AN5" s="11" t="s">
        <v>457</v>
      </c>
      <c r="AO5" s="11" t="s">
        <v>458</v>
      </c>
      <c r="AP5" s="11" t="s">
        <v>459</v>
      </c>
      <c r="AQ5" s="11" t="s">
        <v>460</v>
      </c>
    </row>
    <row r="6" customFormat="false" ht="15" hidden="false" customHeight="false" outlineLevel="0" collapsed="false">
      <c r="A6" s="28" t="n">
        <v>1</v>
      </c>
      <c r="B6" s="28" t="n">
        <f aca="false">INT((A6-1)/12)+1</f>
        <v>1</v>
      </c>
      <c r="C6" s="12" t="s">
        <v>461</v>
      </c>
      <c r="D6" s="15" t="n">
        <f aca="false">(1+Допущения!$E$11)^(B6-1)</f>
        <v>1</v>
      </c>
      <c r="E6" s="15" t="n">
        <f aca="false">(1+Допущения!$E$12)^(B6-1)</f>
        <v>1</v>
      </c>
      <c r="F6" s="17" t="n">
        <f aca="false">Допущения!$E$71*E6</f>
        <v>3084.48</v>
      </c>
      <c r="G6" s="17" t="n">
        <v>0</v>
      </c>
      <c r="H6" s="25" t="n">
        <v>0</v>
      </c>
      <c r="I6" s="25" t="n">
        <v>0</v>
      </c>
      <c r="J6" s="25" t="n">
        <v>0</v>
      </c>
      <c r="K6" s="25" t="n">
        <f aca="false">Допущения!$B$78-0</f>
        <v>0</v>
      </c>
      <c r="L6" s="25" t="n">
        <f aca="false">Допущения!$B$78</f>
        <v>0</v>
      </c>
      <c r="M6" s="25" t="n">
        <v>0</v>
      </c>
      <c r="N6" s="25" t="n">
        <v>0</v>
      </c>
      <c r="O6" s="25" t="n">
        <f aca="false">L6+N6</f>
        <v>0</v>
      </c>
      <c r="P6" s="25" t="n">
        <f aca="false">L6*Допущения!$E$25</f>
        <v>0</v>
      </c>
      <c r="Q6" s="25" t="n">
        <f aca="false">L6*(1-Допущения!$E$25)+N6</f>
        <v>0</v>
      </c>
      <c r="R6" s="17" t="n">
        <f aca="false">IF(A6&gt;1,Допущения!$E$18,0)</f>
        <v>0</v>
      </c>
      <c r="S6" s="17" t="n">
        <v>0</v>
      </c>
      <c r="T6" s="17" t="n">
        <f aca="false">L6*Допущения!$E$60*F6/(1+Допущения!$E$6)</f>
        <v>0</v>
      </c>
      <c r="U6" s="17" t="n">
        <f aca="false">N6*Допущения!$E$28*E6/(1+Допущения!$E$6)</f>
        <v>0</v>
      </c>
      <c r="V6" s="17" t="n">
        <f aca="false">O6*Допущения!$E$26*Допущения!$E$27/(1+Допущения!$E$6)</f>
        <v>0</v>
      </c>
      <c r="W6" s="17" t="n">
        <f aca="false">T6+U6+V6</f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f aca="false">'Бюджет MVP'!$G$33/Допущения!$E$19</f>
        <v>1624654.66666667</v>
      </c>
      <c r="AH6" s="17" t="n">
        <f aca="false">G6+SUM(X6:AG6)</f>
        <v>1624654.66666667</v>
      </c>
      <c r="AI6" s="17" t="n">
        <f aca="false">W6-AH6</f>
        <v>-1624654.66666667</v>
      </c>
      <c r="AJ6" s="17" t="n">
        <f aca="false">AI6</f>
        <v>-1624654.66666667</v>
      </c>
      <c r="AK6" s="17" t="n">
        <v>0</v>
      </c>
      <c r="AL6" s="17" t="n">
        <f aca="false">T6*Допущения!$E$72</f>
        <v>0</v>
      </c>
      <c r="AM6" s="17" t="n">
        <f aca="false">IF(MOD(A6,12)=0,INDEX($F$70:$F$74,B6),0)</f>
        <v>0</v>
      </c>
      <c r="AN6" s="17" t="n">
        <f aca="false">AI6-AM6</f>
        <v>-1624654.66666667</v>
      </c>
      <c r="AO6" s="26" t="n">
        <f aca="false">1/(1+Допущения!$E$74)^A6</f>
        <v>0.983565637299512</v>
      </c>
      <c r="AP6" s="21" t="str">
        <f aca="false">IF(AND(A6&gt;Допущения!$E$19,MIN(AI6:AI$65)&gt;0),A6,"")</f>
        <v/>
      </c>
      <c r="AQ6" s="21" t="str">
        <f aca="false">IF(MIN(AJ6:AJ$65)&gt;0,A6,"")</f>
        <v/>
      </c>
    </row>
    <row r="7" customFormat="false" ht="15" hidden="false" customHeight="false" outlineLevel="0" collapsed="false">
      <c r="A7" s="28" t="n">
        <v>2</v>
      </c>
      <c r="B7" s="28" t="n">
        <f aca="false">INT((A7-1)/12)+1</f>
        <v>1</v>
      </c>
      <c r="C7" s="12" t="s">
        <v>461</v>
      </c>
      <c r="D7" s="15" t="n">
        <f aca="false">(1+Допущения!$E$11)^(B7-1)</f>
        <v>1</v>
      </c>
      <c r="E7" s="15" t="n">
        <f aca="false">(1+Допущения!$E$12)^(B7-1)</f>
        <v>1</v>
      </c>
      <c r="F7" s="17" t="n">
        <f aca="false">Допущения!$E$71*E7</f>
        <v>3084.48</v>
      </c>
      <c r="G7" s="17" t="n">
        <v>0</v>
      </c>
      <c r="H7" s="25" t="n">
        <v>0</v>
      </c>
      <c r="I7" s="25" t="n">
        <v>0</v>
      </c>
      <c r="J7" s="25" t="n">
        <v>0</v>
      </c>
      <c r="K7" s="25" t="n">
        <f aca="false">Допущения!$B$79-Допущения!$B$78</f>
        <v>50</v>
      </c>
      <c r="L7" s="25" t="n">
        <f aca="false">Допущения!$B$79</f>
        <v>50</v>
      </c>
      <c r="M7" s="25" t="n">
        <v>0</v>
      </c>
      <c r="N7" s="25" t="n">
        <v>0</v>
      </c>
      <c r="O7" s="25" t="n">
        <f aca="false">L7+N7</f>
        <v>50</v>
      </c>
      <c r="P7" s="25" t="n">
        <f aca="false">L7*Допущения!$E$25</f>
        <v>15</v>
      </c>
      <c r="Q7" s="25" t="n">
        <f aca="false">L7*(1-Допущения!$E$25)+N7</f>
        <v>35</v>
      </c>
      <c r="R7" s="17" t="n">
        <f aca="false">IF(A7&gt;1,Допущения!$E$18,0)</f>
        <v>3</v>
      </c>
      <c r="S7" s="17" t="n">
        <v>0</v>
      </c>
      <c r="T7" s="17" t="n">
        <f aca="false">L7*Допущения!$E$60*F7/(1+Допущения!$E$6)</f>
        <v>75847.868852459</v>
      </c>
      <c r="U7" s="17" t="n">
        <f aca="false">N7*Допущения!$E$28*E7/(1+Допущения!$E$6)</f>
        <v>0</v>
      </c>
      <c r="V7" s="17" t="n">
        <f aca="false">O7*Допущения!$E$26*Допущения!$E$27/(1+Допущения!$E$6)</f>
        <v>6147.54098360656</v>
      </c>
      <c r="W7" s="17" t="n">
        <f aca="false">T7+U7+V7</f>
        <v>81995.4098360656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f aca="false">'Бюджет MVP'!$G$33/Допущения!$E$19</f>
        <v>1624654.66666667</v>
      </c>
      <c r="AH7" s="17" t="n">
        <f aca="false">G7+SUM(X7:AG7)</f>
        <v>1624654.66666667</v>
      </c>
      <c r="AI7" s="17" t="n">
        <f aca="false">W7-AH7</f>
        <v>-1542659.2568306</v>
      </c>
      <c r="AJ7" s="17" t="n">
        <f aca="false">AJ6+AI7</f>
        <v>-3167313.92349727</v>
      </c>
      <c r="AK7" s="17" t="n">
        <v>0</v>
      </c>
      <c r="AL7" s="17" t="n">
        <f aca="false">T7*Допущения!$E$72</f>
        <v>3824.26229508197</v>
      </c>
      <c r="AM7" s="17" t="n">
        <f aca="false">IF(MOD(A7,12)=0,INDEX($F$70:$F$74,B7),0)</f>
        <v>0</v>
      </c>
      <c r="AN7" s="17" t="n">
        <f aca="false">AI7-AM7</f>
        <v>-1542659.2568306</v>
      </c>
      <c r="AO7" s="26" t="n">
        <f aca="false">1/(1+Допущения!$E$74)^A7</f>
        <v>0.967401362876396</v>
      </c>
      <c r="AP7" s="21" t="str">
        <f aca="false">IF(AND(A7&gt;Допущения!$E$19,MIN(AI7:AI$65)&gt;0),A7,"")</f>
        <v/>
      </c>
      <c r="AQ7" s="21" t="str">
        <f aca="false">IF(MIN(AJ7:AJ$65)&gt;0,A7,"")</f>
        <v/>
      </c>
    </row>
    <row r="8" customFormat="false" ht="15" hidden="false" customHeight="false" outlineLevel="0" collapsed="false">
      <c r="A8" s="28" t="n">
        <v>3</v>
      </c>
      <c r="B8" s="28" t="n">
        <f aca="false">INT((A8-1)/12)+1</f>
        <v>1</v>
      </c>
      <c r="C8" s="12" t="s">
        <v>461</v>
      </c>
      <c r="D8" s="15" t="n">
        <f aca="false">(1+Допущения!$E$11)^(B8-1)</f>
        <v>1</v>
      </c>
      <c r="E8" s="15" t="n">
        <f aca="false">(1+Допущения!$E$12)^(B8-1)</f>
        <v>1</v>
      </c>
      <c r="F8" s="17" t="n">
        <f aca="false">Допущения!$E$71*E8</f>
        <v>3084.48</v>
      </c>
      <c r="G8" s="17" t="n">
        <v>0</v>
      </c>
      <c r="H8" s="25" t="n">
        <v>0</v>
      </c>
      <c r="I8" s="25" t="n">
        <v>0</v>
      </c>
      <c r="J8" s="25" t="n">
        <v>0</v>
      </c>
      <c r="K8" s="25" t="n">
        <f aca="false">Допущения!$B$80-Допущения!$B$79</f>
        <v>100</v>
      </c>
      <c r="L8" s="25" t="n">
        <f aca="false">Допущения!$B$80</f>
        <v>150</v>
      </c>
      <c r="M8" s="25" t="n">
        <v>0</v>
      </c>
      <c r="N8" s="25" t="n">
        <v>0</v>
      </c>
      <c r="O8" s="25" t="n">
        <f aca="false">L8+N8</f>
        <v>150</v>
      </c>
      <c r="P8" s="25" t="n">
        <f aca="false">L8*Допущения!$E$25</f>
        <v>45</v>
      </c>
      <c r="Q8" s="25" t="n">
        <f aca="false">L8*(1-Допущения!$E$25)+N8</f>
        <v>105</v>
      </c>
      <c r="R8" s="17" t="n">
        <f aca="false">IF(A8&gt;1,Допущения!$E$18,0)</f>
        <v>3</v>
      </c>
      <c r="S8" s="17" t="n">
        <v>0</v>
      </c>
      <c r="T8" s="17" t="n">
        <f aca="false">L8*Допущения!$E$60*F8/(1+Допущения!$E$6)</f>
        <v>227543.606557377</v>
      </c>
      <c r="U8" s="17" t="n">
        <f aca="false">N8*Допущения!$E$28*E8/(1+Допущения!$E$6)</f>
        <v>0</v>
      </c>
      <c r="V8" s="17" t="n">
        <f aca="false">O8*Допущения!$E$26*Допущения!$E$27/(1+Допущения!$E$6)</f>
        <v>18442.6229508197</v>
      </c>
      <c r="W8" s="17" t="n">
        <f aca="false">T8+U8+V8</f>
        <v>245986.229508197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f aca="false">'Бюджет MVP'!$G$33/Допущения!$E$19</f>
        <v>1624654.66666667</v>
      </c>
      <c r="AH8" s="17" t="n">
        <f aca="false">G8+SUM(X8:AG8)</f>
        <v>1624654.66666667</v>
      </c>
      <c r="AI8" s="17" t="n">
        <f aca="false">W8-AH8</f>
        <v>-1378668.43715847</v>
      </c>
      <c r="AJ8" s="17" t="n">
        <f aca="false">AJ7+AI8</f>
        <v>-4545982.36065574</v>
      </c>
      <c r="AK8" s="17" t="n">
        <v>0</v>
      </c>
      <c r="AL8" s="17" t="n">
        <f aca="false">T8*Допущения!$E$72</f>
        <v>11472.7868852459</v>
      </c>
      <c r="AM8" s="17" t="n">
        <f aca="false">IF(MOD(A8,12)=0,INDEX($F$70:$F$74,B8),0)</f>
        <v>0</v>
      </c>
      <c r="AN8" s="17" t="n">
        <f aca="false">AI8-AM8</f>
        <v>-1378668.43715847</v>
      </c>
      <c r="AO8" s="26" t="n">
        <f aca="false">1/(1+Допущения!$E$74)^A8</f>
        <v>0.951502738001939</v>
      </c>
      <c r="AP8" s="21" t="str">
        <f aca="false">IF(AND(A8&gt;Допущения!$E$19,MIN(AI8:AI$65)&gt;0),A8,"")</f>
        <v/>
      </c>
      <c r="AQ8" s="21" t="str">
        <f aca="false">IF(MIN(AJ8:AJ$65)&gt;0,A8,"")</f>
        <v/>
      </c>
    </row>
    <row r="9" customFormat="false" ht="15" hidden="false" customHeight="false" outlineLevel="0" collapsed="false">
      <c r="A9" s="28" t="n">
        <v>4</v>
      </c>
      <c r="B9" s="28" t="n">
        <f aca="false">INT((A9-1)/12)+1</f>
        <v>1</v>
      </c>
      <c r="C9" s="12" t="s">
        <v>462</v>
      </c>
      <c r="D9" s="15" t="n">
        <f aca="false">(1+Допущения!$E$11)^(B9-1)</f>
        <v>1</v>
      </c>
      <c r="E9" s="15" t="n">
        <f aca="false">(1+Допущения!$E$12)^(B9-1)</f>
        <v>1</v>
      </c>
      <c r="F9" s="17" t="n">
        <f aca="false">Допущения!$E$71*E9</f>
        <v>3084.48</v>
      </c>
      <c r="G9" s="17" t="n">
        <f aca="false">Допущения!$E$32</f>
        <v>400000</v>
      </c>
      <c r="H9" s="25" t="n">
        <f aca="false">MIN(Допущения!$E$30,G9/Допущения!$E$29)</f>
        <v>266.666666666667</v>
      </c>
      <c r="I9" s="25" t="n">
        <f aca="false">MAX(0,G9-H9*Допущения!$E$29)/Допущения!$E$31</f>
        <v>0</v>
      </c>
      <c r="J9" s="25" t="n">
        <f aca="false">IF(A9&gt;=Допущения!$E$35,Допущения!$E$36,0)</f>
        <v>0</v>
      </c>
      <c r="K9" s="25" t="n">
        <f aca="false">H9+I9+J9</f>
        <v>266.666666666667</v>
      </c>
      <c r="L9" s="25" t="n">
        <f aca="false">(L8-K8)*(1-Допущения!$E$44)+K8*(1-Допущения!$E$43)+K9</f>
        <v>396.416666666667</v>
      </c>
      <c r="M9" s="25" t="n">
        <f aca="false">IF(A9&gt;=Допущения!$E$38,Допущения!$E$73/Допущения!$E$42*MIN(Допущения!$E$42,A9-Допущения!$E$38+1),0)</f>
        <v>0</v>
      </c>
      <c r="N9" s="25" t="n">
        <f aca="false">N8*(1-Допущения!$E$45)+M9</f>
        <v>0</v>
      </c>
      <c r="O9" s="25" t="n">
        <f aca="false">L9+N9</f>
        <v>396.416666666667</v>
      </c>
      <c r="P9" s="25" t="n">
        <f aca="false">L9*Допущения!$E$25</f>
        <v>118.925</v>
      </c>
      <c r="Q9" s="25" t="n">
        <f aca="false">L9*(1-Допущения!$E$25)+N9</f>
        <v>277.491666666667</v>
      </c>
      <c r="R9" s="17" t="n">
        <f aca="false">MAX(Допущения!$E$18,ROUNDUP(Q9/Допущения!$E$68+P9/Допущения!$E$69,0))</f>
        <v>4</v>
      </c>
      <c r="S9" s="17" t="n">
        <f aca="false">ROUNDUP(R9/Допущения!$E$48,0)</f>
        <v>1</v>
      </c>
      <c r="T9" s="17" t="n">
        <f aca="false">L9*F9/(1+Допущения!$E$6)</f>
        <v>1002245.31147541</v>
      </c>
      <c r="U9" s="17" t="n">
        <f aca="false">N9*Допущения!$E$28*E9/(1+Допущения!$E$6)</f>
        <v>0</v>
      </c>
      <c r="V9" s="17" t="n">
        <f aca="false">O9*Допущения!$E$26*Допущения!$E$27/(1+Допущения!$E$6)</f>
        <v>48739.7540983607</v>
      </c>
      <c r="W9" s="17" t="n">
        <f aca="false">T9+U9+V9</f>
        <v>1050985.06557377</v>
      </c>
      <c r="X9" s="17" t="n">
        <f aca="false">J9*Допущения!$E$37</f>
        <v>0</v>
      </c>
      <c r="Y9" s="17" t="n">
        <f aca="false">(R9*Допущения!$E$47+S9*Допущения!$E$49)*D9*Допущения!$E$9</f>
        <v>481740</v>
      </c>
      <c r="Z9" s="17" t="n">
        <f aca="false">(MAX(0,R9-R8)+R9*Допущения!$E$50/12)*Допущения!$E$51*D9</f>
        <v>77000</v>
      </c>
      <c r="AA9" s="17" t="n">
        <f aca="false">O9*(Допущения!$E$53+Допущения!$E$54)+(L9*F9+N9*Допущения!$E$28*E9)*Допущения!$E$13</f>
        <v>166701.390373333</v>
      </c>
      <c r="AB9" s="17" t="n">
        <f aca="false">(R9+S9)*Допущения!$E$52</f>
        <v>13500</v>
      </c>
      <c r="AC9" s="17" t="n">
        <f aca="false">SUMPRODUCT(Допущения!$B$84:$B$91,Допущения!$C$84:$C$91,--(Допущения!$D$84:$D$91&lt;=A9))*D9*Допущения!$E$9</f>
        <v>1132740</v>
      </c>
      <c r="AD9" s="17" t="n">
        <f aca="false">(AC9+Y9)*Допущения!$E$14</f>
        <v>161448</v>
      </c>
      <c r="AE9" s="17" t="n">
        <f aca="false">Допущения!$E$55+Допущения!$E$56*O9/1000+Допущения!$E$57</f>
        <v>143171.333333333</v>
      </c>
      <c r="AF9" s="17" t="n">
        <f aca="false">SUMIF(Допущения!$B$95:$B$103,A9,Допущения!$C$95:$C$103)</f>
        <v>1000000</v>
      </c>
      <c r="AG9" s="17" t="n">
        <v>0</v>
      </c>
      <c r="AH9" s="17" t="n">
        <f aca="false">G9+SUM(X9:AG9)</f>
        <v>3576300.72370667</v>
      </c>
      <c r="AI9" s="17" t="n">
        <f aca="false">W9-AH9</f>
        <v>-2525315.6581329</v>
      </c>
      <c r="AJ9" s="17" t="n">
        <f aca="false">AJ8+AI9</f>
        <v>-7071298.01878863</v>
      </c>
      <c r="AK9" s="17" t="n">
        <f aca="false">O9*Допущения!$E$58*Допущения!$E$59</f>
        <v>19622.625</v>
      </c>
      <c r="AL9" s="17" t="n">
        <f aca="false">T9*Допущения!$E$72</f>
        <v>50533.3770491803</v>
      </c>
      <c r="AM9" s="17" t="n">
        <f aca="false">IF(MOD(A9,12)=0,INDEX($F$70:$F$74,B9),0)</f>
        <v>0</v>
      </c>
      <c r="AN9" s="17" t="n">
        <f aca="false">AI9-AM9</f>
        <v>-2525315.6581329</v>
      </c>
      <c r="AO9" s="26" t="n">
        <f aca="false">1/(1+Допущения!$E$74)^A9</f>
        <v>0.935865396895108</v>
      </c>
      <c r="AP9" s="21" t="str">
        <f aca="false">IF(AND(A9&gt;Допущения!$E$19,MIN(AI9:AI$65)&gt;0),A9,"")</f>
        <v/>
      </c>
      <c r="AQ9" s="21" t="str">
        <f aca="false">IF(MIN(AJ9:AJ$65)&gt;0,A9,"")</f>
        <v/>
      </c>
    </row>
    <row r="10" customFormat="false" ht="15" hidden="false" customHeight="false" outlineLevel="0" collapsed="false">
      <c r="A10" s="28" t="n">
        <v>5</v>
      </c>
      <c r="B10" s="28" t="n">
        <f aca="false">INT((A10-1)/12)+1</f>
        <v>1</v>
      </c>
      <c r="C10" s="12" t="s">
        <v>462</v>
      </c>
      <c r="D10" s="15" t="n">
        <f aca="false">(1+Допущения!$E$11)^(B10-1)</f>
        <v>1</v>
      </c>
      <c r="E10" s="15" t="n">
        <f aca="false">(1+Допущения!$E$12)^(B10-1)</f>
        <v>1</v>
      </c>
      <c r="F10" s="17" t="n">
        <f aca="false">Допущения!$E$71*E10</f>
        <v>3084.48</v>
      </c>
      <c r="G10" s="17" t="n">
        <f aca="false">MIN(G9*(1+Допущения!$E$33),Допущения!$E$34)</f>
        <v>432000</v>
      </c>
      <c r="H10" s="25" t="n">
        <f aca="false">MIN(Допущения!$E$30,G10/Допущения!$E$29)</f>
        <v>288</v>
      </c>
      <c r="I10" s="25" t="n">
        <f aca="false">MAX(0,G10-H10*Допущения!$E$29)/Допущения!$E$31</f>
        <v>0</v>
      </c>
      <c r="J10" s="25" t="n">
        <f aca="false">IF(A10&gt;=Допущения!$E$35,Допущения!$E$36,0)</f>
        <v>0</v>
      </c>
      <c r="K10" s="25" t="n">
        <f aca="false">H10+I10+J10</f>
        <v>288</v>
      </c>
      <c r="L10" s="25" t="n">
        <f aca="false">(L9-K9)*(1-Допущения!$E$44)+K9*(1-Допущения!$E$43)+K10</f>
        <v>630.577916666667</v>
      </c>
      <c r="M10" s="25" t="n">
        <f aca="false">IF(A10&gt;=Допущения!$E$38,Допущения!$E$73/Допущения!$E$42*MIN(Допущения!$E$42,A10-Допущения!$E$38+1),0)</f>
        <v>0</v>
      </c>
      <c r="N10" s="25" t="n">
        <f aca="false">N9*(1-Допущения!$E$45)+M10</f>
        <v>0</v>
      </c>
      <c r="O10" s="25" t="n">
        <f aca="false">L10+N10</f>
        <v>630.577916666667</v>
      </c>
      <c r="P10" s="25" t="n">
        <f aca="false">L10*Допущения!$E$25</f>
        <v>189.173375</v>
      </c>
      <c r="Q10" s="25" t="n">
        <f aca="false">L10*(1-Допущения!$E$25)+N10</f>
        <v>441.404541666667</v>
      </c>
      <c r="R10" s="17" t="n">
        <f aca="false">MAX(Допущения!$E$18,ROUNDUP(Q10/Допущения!$E$68+P10/Допущения!$E$69,0))</f>
        <v>7</v>
      </c>
      <c r="S10" s="17" t="n">
        <f aca="false">ROUNDUP(R10/Допущения!$E$48,0)</f>
        <v>1</v>
      </c>
      <c r="T10" s="17" t="n">
        <f aca="false">L10*F10/(1+Допущения!$E$6)</f>
        <v>1594266.37081967</v>
      </c>
      <c r="U10" s="17" t="n">
        <f aca="false">N10*Допущения!$E$28*E10/(1+Допущения!$E$6)</f>
        <v>0</v>
      </c>
      <c r="V10" s="17" t="n">
        <f aca="false">O10*Допущения!$E$26*Допущения!$E$27/(1+Допущения!$E$6)</f>
        <v>77530.0717213115</v>
      </c>
      <c r="W10" s="17" t="n">
        <f aca="false">T10+U10+V10</f>
        <v>1671796.44254098</v>
      </c>
      <c r="X10" s="17" t="n">
        <f aca="false">J10*Допущения!$E$37</f>
        <v>0</v>
      </c>
      <c r="Y10" s="17" t="n">
        <f aca="false">(R10*Допущения!$E$47+S10*Допущения!$E$49)*D10*Допущения!$E$9</f>
        <v>735630</v>
      </c>
      <c r="Z10" s="17" t="n">
        <f aca="false">(MAX(0,R10-R9)+R10*Допущения!$E$50/12)*Допущения!$E$51*D10</f>
        <v>222250</v>
      </c>
      <c r="AA10" s="17" t="n">
        <f aca="false">O10*(Допущения!$E$53+Допущения!$E$54)+(L10*F10+N10*Допущения!$E$28*E10)*Допущения!$E$13</f>
        <v>265171.029086533</v>
      </c>
      <c r="AB10" s="17" t="n">
        <f aca="false">(R10+S10)*Допущения!$E$52</f>
        <v>21600</v>
      </c>
      <c r="AC10" s="17" t="n">
        <f aca="false">SUMPRODUCT(Допущения!$B$84:$B$91,Допущения!$C$84:$C$91,--(Допущения!$D$84:$D$91&lt;=A10))*D10*Допущения!$E$9</f>
        <v>1132740</v>
      </c>
      <c r="AD10" s="17" t="n">
        <f aca="false">(AC10+Y10)*Допущения!$E$14</f>
        <v>186837</v>
      </c>
      <c r="AE10" s="17" t="n">
        <f aca="false">Допущения!$E$55+Допущения!$E$56*O10/1000+Допущения!$E$57</f>
        <v>145044.623333333</v>
      </c>
      <c r="AF10" s="17" t="n">
        <f aca="false">SUMIF(Допущения!$B$95:$B$103,A10,Допущения!$C$95:$C$103)</f>
        <v>1000000</v>
      </c>
      <c r="AG10" s="17" t="n">
        <v>0</v>
      </c>
      <c r="AH10" s="17" t="n">
        <f aca="false">G10+SUM(X10:AG10)</f>
        <v>4141272.65241987</v>
      </c>
      <c r="AI10" s="17" t="n">
        <f aca="false">W10-AH10</f>
        <v>-2469476.20987888</v>
      </c>
      <c r="AJ10" s="17" t="n">
        <f aca="false">AJ9+AI10</f>
        <v>-9540774.22866752</v>
      </c>
      <c r="AK10" s="17" t="n">
        <f aca="false">O10*Допущения!$E$58*Допущения!$E$59</f>
        <v>31213.606875</v>
      </c>
      <c r="AL10" s="17" t="n">
        <f aca="false">T10*Допущения!$E$72</f>
        <v>80383.1783606557</v>
      </c>
      <c r="AM10" s="17" t="n">
        <f aca="false">IF(MOD(A10,12)=0,INDEX($F$70:$F$74,B10),0)</f>
        <v>0</v>
      </c>
      <c r="AN10" s="17" t="n">
        <f aca="false">AI10-AM10</f>
        <v>-2469476.20987888</v>
      </c>
      <c r="AO10" s="26" t="n">
        <f aca="false">1/(1+Допущения!$E$74)^A10</f>
        <v>0.920485045523697</v>
      </c>
      <c r="AP10" s="21" t="str">
        <f aca="false">IF(AND(A10&gt;Допущения!$E$19,MIN(AI10:AI$65)&gt;0),A10,"")</f>
        <v/>
      </c>
      <c r="AQ10" s="21" t="str">
        <f aca="false">IF(MIN(AJ10:AJ$65)&gt;0,A10,"")</f>
        <v/>
      </c>
    </row>
    <row r="11" customFormat="false" ht="15" hidden="false" customHeight="false" outlineLevel="0" collapsed="false">
      <c r="A11" s="28" t="n">
        <v>6</v>
      </c>
      <c r="B11" s="28" t="n">
        <f aca="false">INT((A11-1)/12)+1</f>
        <v>1</v>
      </c>
      <c r="C11" s="12" t="s">
        <v>462</v>
      </c>
      <c r="D11" s="15" t="n">
        <f aca="false">(1+Допущения!$E$11)^(B11-1)</f>
        <v>1</v>
      </c>
      <c r="E11" s="15" t="n">
        <f aca="false">(1+Допущения!$E$12)^(B11-1)</f>
        <v>1</v>
      </c>
      <c r="F11" s="17" t="n">
        <f aca="false">Допущения!$E$71*E11</f>
        <v>3084.48</v>
      </c>
      <c r="G11" s="17" t="n">
        <f aca="false">MIN(G10*(1+Допущения!$E$33),Допущения!$E$34)</f>
        <v>466560</v>
      </c>
      <c r="H11" s="25" t="n">
        <f aca="false">MIN(Допущения!$E$30,G11/Допущения!$E$29)</f>
        <v>311.04</v>
      </c>
      <c r="I11" s="25" t="n">
        <f aca="false">MAX(0,G11-H11*Допущения!$E$29)/Допущения!$E$31</f>
        <v>0</v>
      </c>
      <c r="J11" s="25" t="n">
        <f aca="false">IF(A11&gt;=Допущения!$E$35,Допущения!$E$36,0)</f>
        <v>60</v>
      </c>
      <c r="K11" s="25" t="n">
        <f aca="false">H11+I11+J11</f>
        <v>371.04</v>
      </c>
      <c r="L11" s="25" t="n">
        <f aca="false">(L10-K10)*(1-Допущения!$E$44)+K10*(1-Допущения!$E$43)+K11</f>
        <v>934.361910416667</v>
      </c>
      <c r="M11" s="25" t="n">
        <f aca="false">IF(A11&gt;=Допущения!$E$38,Допущения!$E$73/Допущения!$E$42*MIN(Допущения!$E$42,A11-Допущения!$E$38+1),0)</f>
        <v>0</v>
      </c>
      <c r="N11" s="25" t="n">
        <f aca="false">N10*(1-Допущения!$E$45)+M11</f>
        <v>0</v>
      </c>
      <c r="O11" s="25" t="n">
        <f aca="false">L11+N11</f>
        <v>934.361910416667</v>
      </c>
      <c r="P11" s="25" t="n">
        <f aca="false">L11*Допущения!$E$25</f>
        <v>280.308573125</v>
      </c>
      <c r="Q11" s="25" t="n">
        <f aca="false">L11*(1-Допущения!$E$25)+N11</f>
        <v>654.053337291667</v>
      </c>
      <c r="R11" s="17" t="n">
        <f aca="false">MAX(Допущения!$E$18,ROUNDUP(Q11/Допущения!$E$68+P11/Допущения!$E$69,0))</f>
        <v>9</v>
      </c>
      <c r="S11" s="17" t="n">
        <f aca="false">ROUNDUP(R11/Допущения!$E$48,0)</f>
        <v>1</v>
      </c>
      <c r="T11" s="17" t="n">
        <f aca="false">L11*F11/(1+Допущения!$E$6)</f>
        <v>2362311.98806721</v>
      </c>
      <c r="U11" s="17" t="n">
        <f aca="false">N11*Допущения!$E$28*E11/(1+Допущения!$E$6)</f>
        <v>0</v>
      </c>
      <c r="V11" s="17" t="n">
        <f aca="false">O11*Допущения!$E$26*Допущения!$E$27/(1+Допущения!$E$6)</f>
        <v>114880.562756148</v>
      </c>
      <c r="W11" s="17" t="n">
        <f aca="false">T11+U11+V11</f>
        <v>2477192.55082336</v>
      </c>
      <c r="X11" s="17" t="n">
        <f aca="false">J11*Допущения!$E$37</f>
        <v>30000</v>
      </c>
      <c r="Y11" s="17" t="n">
        <f aca="false">(R11*Допущения!$E$47+S11*Допущения!$E$49)*D11*Допущения!$E$9</f>
        <v>904890</v>
      </c>
      <c r="Z11" s="17" t="n">
        <f aca="false">(MAX(0,R11-R10)+R11*Допущения!$E$50/12)*Допущения!$E$51*D11</f>
        <v>155750</v>
      </c>
      <c r="AA11" s="17" t="n">
        <f aca="false">O11*(Допущения!$E$53+Допущения!$E$54)+(L11*F11+N11*Допущения!$E$28*E11)*Допущения!$E$13</f>
        <v>392918.468560039</v>
      </c>
      <c r="AB11" s="17" t="n">
        <f aca="false">(R11+S11)*Допущения!$E$52</f>
        <v>27000</v>
      </c>
      <c r="AC11" s="17" t="n">
        <f aca="false">SUMPRODUCT(Допущения!$B$84:$B$91,Допущения!$C$84:$C$91,--(Допущения!$D$84:$D$91&lt;=A11))*D11*Допущения!$E$9</f>
        <v>1627500</v>
      </c>
      <c r="AD11" s="17" t="n">
        <f aca="false">(AC11+Y11)*Допущения!$E$14</f>
        <v>253239</v>
      </c>
      <c r="AE11" s="17" t="n">
        <f aca="false">Допущения!$E$55+Допущения!$E$56*O11/1000+Допущения!$E$57</f>
        <v>147474.895283333</v>
      </c>
      <c r="AF11" s="17" t="n">
        <f aca="false">SUMIF(Допущения!$B$95:$B$103,A11,Допущения!$C$95:$C$103)</f>
        <v>1000000</v>
      </c>
      <c r="AG11" s="17" t="n">
        <v>0</v>
      </c>
      <c r="AH11" s="17" t="n">
        <f aca="false">G11+SUM(X11:AG11)</f>
        <v>5005332.36384337</v>
      </c>
      <c r="AI11" s="17" t="n">
        <f aca="false">W11-AH11</f>
        <v>-2528139.81302001</v>
      </c>
      <c r="AJ11" s="17" t="n">
        <f aca="false">AJ10+AI11</f>
        <v>-12068914.0416875</v>
      </c>
      <c r="AK11" s="17" t="n">
        <f aca="false">O11*Допущения!$E$58*Допущения!$E$59</f>
        <v>46250.914565625</v>
      </c>
      <c r="AL11" s="17" t="n">
        <f aca="false">T11*Допущения!$E$72</f>
        <v>119108.167465574</v>
      </c>
      <c r="AM11" s="17" t="n">
        <f aca="false">IF(MOD(A11,12)=0,INDEX($F$70:$F$74,B11),0)</f>
        <v>0</v>
      </c>
      <c r="AN11" s="17" t="n">
        <f aca="false">AI11-AM11</f>
        <v>-2528139.81302001</v>
      </c>
      <c r="AO11" s="26" t="n">
        <f aca="false">1/(1+Допущения!$E$74)^A11</f>
        <v>0.905357460425186</v>
      </c>
      <c r="AP11" s="21" t="str">
        <f aca="false">IF(AND(A11&gt;Допущения!$E$19,MIN(AI11:AI$65)&gt;0),A11,"")</f>
        <v/>
      </c>
      <c r="AQ11" s="21" t="str">
        <f aca="false">IF(MIN(AJ11:AJ$65)&gt;0,A11,"")</f>
        <v/>
      </c>
    </row>
    <row r="12" customFormat="false" ht="15" hidden="false" customHeight="false" outlineLevel="0" collapsed="false">
      <c r="A12" s="28" t="n">
        <v>7</v>
      </c>
      <c r="B12" s="28" t="n">
        <f aca="false">INT((A12-1)/12)+1</f>
        <v>1</v>
      </c>
      <c r="C12" s="12" t="s">
        <v>462</v>
      </c>
      <c r="D12" s="15" t="n">
        <f aca="false">(1+Допущения!$E$11)^(B12-1)</f>
        <v>1</v>
      </c>
      <c r="E12" s="15" t="n">
        <f aca="false">(1+Допущения!$E$12)^(B12-1)</f>
        <v>1</v>
      </c>
      <c r="F12" s="17" t="n">
        <f aca="false">Допущения!$E$71*E12</f>
        <v>3084.48</v>
      </c>
      <c r="G12" s="17" t="n">
        <f aca="false">MIN(G11*(1+Допущения!$E$33),Допущения!$E$34)</f>
        <v>503884.8</v>
      </c>
      <c r="H12" s="25" t="n">
        <f aca="false">MIN(Допущения!$E$30,G12/Допущения!$E$29)</f>
        <v>335.9232</v>
      </c>
      <c r="I12" s="25" t="n">
        <f aca="false">MAX(0,G12-H12*Допущения!$E$29)/Допущения!$E$31</f>
        <v>0</v>
      </c>
      <c r="J12" s="25" t="n">
        <f aca="false">IF(A12&gt;=Допущения!$E$35,Допущения!$E$36,0)</f>
        <v>60</v>
      </c>
      <c r="K12" s="25" t="n">
        <f aca="false">H12+I12+J12</f>
        <v>395.9232</v>
      </c>
      <c r="L12" s="25" t="n">
        <f aca="false">(L11-K11)*(1-Допущения!$E$44)+K11*(1-Допущения!$E$43)+K12</f>
        <v>1238.14842444792</v>
      </c>
      <c r="M12" s="25" t="n">
        <f aca="false">IF(A12&gt;=Допущения!$E$38,Допущения!$E$73/Допущения!$E$42*MIN(Допущения!$E$42,A12-Допущения!$E$38+1),0)</f>
        <v>40</v>
      </c>
      <c r="N12" s="25" t="n">
        <f aca="false">N11*(1-Допущения!$E$45)+M12</f>
        <v>40</v>
      </c>
      <c r="O12" s="25" t="n">
        <f aca="false">L12+N12</f>
        <v>1278.14842444792</v>
      </c>
      <c r="P12" s="25" t="n">
        <f aca="false">L12*Допущения!$E$25</f>
        <v>371.444527334375</v>
      </c>
      <c r="Q12" s="25" t="n">
        <f aca="false">L12*(1-Допущения!$E$25)+N12</f>
        <v>906.703897113542</v>
      </c>
      <c r="R12" s="17" t="n">
        <f aca="false">MAX(Допущения!$E$18,ROUNDUP(Q12/Допущения!$E$68+P12/Допущения!$E$69,0))</f>
        <v>13</v>
      </c>
      <c r="S12" s="17" t="n">
        <f aca="false">ROUNDUP(R12/Допущения!$E$48,0)</f>
        <v>2</v>
      </c>
      <c r="T12" s="17" t="n">
        <f aca="false">L12*F12/(1+Допущения!$E$6)</f>
        <v>3130363.97724681</v>
      </c>
      <c r="U12" s="17" t="n">
        <f aca="false">N12*Допущения!$E$28*E12/(1+Допущения!$E$6)</f>
        <v>65245.9016393443</v>
      </c>
      <c r="V12" s="17" t="n">
        <f aca="false">O12*Допущения!$E$26*Допущения!$E$27/(1+Допущения!$E$6)</f>
        <v>157149.396448514</v>
      </c>
      <c r="W12" s="17" t="n">
        <f aca="false">T12+U12+V12</f>
        <v>3352759.27533467</v>
      </c>
      <c r="X12" s="17" t="n">
        <f aca="false">J12*Допущения!$E$37</f>
        <v>30000</v>
      </c>
      <c r="Y12" s="17" t="n">
        <f aca="false">(R12*Допущения!$E$47+S12*Допущения!$E$49)*D12*Допущения!$E$9</f>
        <v>1386630</v>
      </c>
      <c r="Z12" s="17" t="n">
        <f aca="false">(MAX(0,R12-R11)+R12*Допущения!$E$50/12)*Допущения!$E$51*D12</f>
        <v>302750</v>
      </c>
      <c r="AA12" s="17" t="n">
        <f aca="false">O12*(Допущения!$E$53+Допущения!$E$54)+(L12*F12+N12*Допущения!$E$28*E12)*Допущения!$E$13</f>
        <v>536699.76786383</v>
      </c>
      <c r="AB12" s="17" t="n">
        <f aca="false">(R12+S12)*Допущения!$E$52</f>
        <v>40500</v>
      </c>
      <c r="AC12" s="17" t="n">
        <f aca="false">SUMPRODUCT(Допущения!$B$84:$B$91,Допущения!$C$84:$C$91,--(Допущения!$D$84:$D$91&lt;=A12))*D12*Допущения!$E$9</f>
        <v>1627500</v>
      </c>
      <c r="AD12" s="17" t="n">
        <f aca="false">(AC12+Y12)*Допущения!$E$14</f>
        <v>301413</v>
      </c>
      <c r="AE12" s="17" t="n">
        <f aca="false">Допущения!$E$55+Допущения!$E$56*O12/1000+Допущения!$E$57</f>
        <v>150225.187395583</v>
      </c>
      <c r="AF12" s="17" t="n">
        <f aca="false">SUMIF(Допущения!$B$95:$B$103,A12,Допущения!$C$95:$C$103)</f>
        <v>500000</v>
      </c>
      <c r="AG12" s="17" t="n">
        <v>0</v>
      </c>
      <c r="AH12" s="17" t="n">
        <f aca="false">G12+SUM(X12:AG12)</f>
        <v>5379602.75525941</v>
      </c>
      <c r="AI12" s="17" t="n">
        <f aca="false">W12-AH12</f>
        <v>-2026843.47992474</v>
      </c>
      <c r="AJ12" s="17" t="n">
        <f aca="false">AJ11+AI12</f>
        <v>-14095757.5216123</v>
      </c>
      <c r="AK12" s="17" t="n">
        <f aca="false">O12*Допущения!$E$58*Допущения!$E$59</f>
        <v>63268.3470101719</v>
      </c>
      <c r="AL12" s="17" t="n">
        <f aca="false">T12*Допущения!$E$72</f>
        <v>157833.477844377</v>
      </c>
      <c r="AM12" s="17" t="n">
        <f aca="false">IF(MOD(A12,12)=0,INDEX($F$70:$F$74,B12),0)</f>
        <v>0</v>
      </c>
      <c r="AN12" s="17" t="n">
        <f aca="false">AI12-AM12</f>
        <v>-2026843.47992474</v>
      </c>
      <c r="AO12" s="26" t="n">
        <f aca="false">1/(1+Допущения!$E$74)^A12</f>
        <v>0.890478487546966</v>
      </c>
      <c r="AP12" s="21" t="str">
        <f aca="false">IF(AND(A12&gt;Допущения!$E$19,MIN(AI12:AI$65)&gt;0),A12,"")</f>
        <v/>
      </c>
      <c r="AQ12" s="21" t="str">
        <f aca="false">IF(MIN(AJ12:AJ$65)&gt;0,A12,"")</f>
        <v/>
      </c>
    </row>
    <row r="13" customFormat="false" ht="15" hidden="false" customHeight="false" outlineLevel="0" collapsed="false">
      <c r="A13" s="28" t="n">
        <v>8</v>
      </c>
      <c r="B13" s="28" t="n">
        <f aca="false">INT((A13-1)/12)+1</f>
        <v>1</v>
      </c>
      <c r="C13" s="12" t="s">
        <v>462</v>
      </c>
      <c r="D13" s="15" t="n">
        <f aca="false">(1+Допущения!$E$11)^(B13-1)</f>
        <v>1</v>
      </c>
      <c r="E13" s="15" t="n">
        <f aca="false">(1+Допущения!$E$12)^(B13-1)</f>
        <v>1</v>
      </c>
      <c r="F13" s="17" t="n">
        <f aca="false">Допущения!$E$71*E13</f>
        <v>3084.48</v>
      </c>
      <c r="G13" s="17" t="n">
        <f aca="false">MIN(G12*(1+Допущения!$E$33),Допущения!$E$34)</f>
        <v>544195.584</v>
      </c>
      <c r="H13" s="25" t="n">
        <f aca="false">MIN(Допущения!$E$30,G13/Допущения!$E$29)</f>
        <v>362.797056</v>
      </c>
      <c r="I13" s="25" t="n">
        <f aca="false">MAX(0,G13-H13*Допущения!$E$29)/Допущения!$E$31</f>
        <v>0</v>
      </c>
      <c r="J13" s="25" t="n">
        <f aca="false">IF(A13&gt;=Допущения!$E$35,Допущения!$E$36,0)</f>
        <v>60</v>
      </c>
      <c r="K13" s="25" t="n">
        <f aca="false">H13+I13+J13</f>
        <v>422.797056</v>
      </c>
      <c r="L13" s="25" t="n">
        <f aca="false">(L12-K12)*(1-Допущения!$E$44)+K12*(1-Допущения!$E$43)+K13</f>
        <v>1551.77916934776</v>
      </c>
      <c r="M13" s="25" t="n">
        <f aca="false">IF(A13&gt;=Допущения!$E$38,Допущения!$E$73/Допущения!$E$42*MIN(Допущения!$E$42,A13-Допущения!$E$38+1),0)</f>
        <v>80</v>
      </c>
      <c r="N13" s="25" t="n">
        <f aca="false">N12*(1-Допущения!$E$45)+M13</f>
        <v>119.2</v>
      </c>
      <c r="O13" s="25" t="n">
        <f aca="false">L13+N13</f>
        <v>1670.97916934776</v>
      </c>
      <c r="P13" s="25" t="n">
        <f aca="false">L13*Допущения!$E$25</f>
        <v>465.533750804328</v>
      </c>
      <c r="Q13" s="25" t="n">
        <f aca="false">L13*(1-Допущения!$E$25)+N13</f>
        <v>1205.44541854343</v>
      </c>
      <c r="R13" s="17" t="n">
        <f aca="false">MAX(Допущения!$E$18,ROUNDUP(Q13/Допущения!$E$68+P13/Допущения!$E$69,0))</f>
        <v>16</v>
      </c>
      <c r="S13" s="17" t="n">
        <f aca="false">ROUNDUP(R13/Допущения!$E$48,0)</f>
        <v>2</v>
      </c>
      <c r="T13" s="17" t="n">
        <f aca="false">L13*F13/(1+Допущения!$E$6)</f>
        <v>3923304.76415556</v>
      </c>
      <c r="U13" s="17" t="n">
        <f aca="false">N13*Допущения!$E$28*E13/(1+Допущения!$E$6)</f>
        <v>194432.786885246</v>
      </c>
      <c r="V13" s="17" t="n">
        <f aca="false">O13*Допущения!$E$26*Допущения!$E$27/(1+Допущения!$E$6)</f>
        <v>205448.258526364</v>
      </c>
      <c r="W13" s="17" t="n">
        <f aca="false">T13+U13+V13</f>
        <v>4323185.80956717</v>
      </c>
      <c r="X13" s="17" t="n">
        <f aca="false">J13*Допущения!$E$37</f>
        <v>30000</v>
      </c>
      <c r="Y13" s="17" t="n">
        <f aca="false">(R13*Допущения!$E$47+S13*Допущения!$E$49)*D13*Допущения!$E$9</f>
        <v>1640520</v>
      </c>
      <c r="Z13" s="17" t="n">
        <f aca="false">(MAX(0,R13-R12)+R13*Допущения!$E$50/12)*Допущения!$E$51*D13</f>
        <v>238000</v>
      </c>
      <c r="AA13" s="17" t="n">
        <f aca="false">O13*(Допущения!$E$53+Допущения!$E$54)+(L13*F13+N13*Допущения!$E$28*E13)*Допущения!$E$13</f>
        <v>700332.913432789</v>
      </c>
      <c r="AB13" s="17" t="n">
        <f aca="false">(R13+S13)*Допущения!$E$52</f>
        <v>48600</v>
      </c>
      <c r="AC13" s="17" t="n">
        <f aca="false">SUMPRODUCT(Допущения!$B$84:$B$91,Допущения!$C$84:$C$91,--(Допущения!$D$84:$D$91&lt;=A13))*D13*Допущения!$E$9</f>
        <v>1627500</v>
      </c>
      <c r="AD13" s="17" t="n">
        <f aca="false">(AC13+Y13)*Допущения!$E$14</f>
        <v>326802</v>
      </c>
      <c r="AE13" s="17" t="n">
        <f aca="false">Допущения!$E$55+Допущения!$E$56*O13/1000+Допущения!$E$57</f>
        <v>153367.833354782</v>
      </c>
      <c r="AF13" s="17" t="n">
        <f aca="false">SUMIF(Допущения!$B$95:$B$103,A13,Допущения!$C$95:$C$103)</f>
        <v>500000</v>
      </c>
      <c r="AG13" s="17" t="n">
        <v>0</v>
      </c>
      <c r="AH13" s="17" t="n">
        <f aca="false">G13+SUM(X13:AG13)</f>
        <v>5809318.33078757</v>
      </c>
      <c r="AI13" s="17" t="n">
        <f aca="false">W13-AH13</f>
        <v>-1486132.5212204</v>
      </c>
      <c r="AJ13" s="17" t="n">
        <f aca="false">AJ12+AI13</f>
        <v>-15581890.0428327</v>
      </c>
      <c r="AK13" s="17" t="n">
        <f aca="false">O13*Допущения!$E$58*Допущения!$E$59</f>
        <v>82713.4688827141</v>
      </c>
      <c r="AL13" s="17" t="n">
        <f aca="false">T13*Допущения!$E$72</f>
        <v>197813.685587675</v>
      </c>
      <c r="AM13" s="17" t="n">
        <f aca="false">IF(MOD(A13,12)=0,INDEX($F$70:$F$74,B13),0)</f>
        <v>0</v>
      </c>
      <c r="AN13" s="17" t="n">
        <f aca="false">AI13-AM13</f>
        <v>-1486132.5212204</v>
      </c>
      <c r="AO13" s="26" t="n">
        <f aca="false">1/(1+Допущения!$E$74)^A13</f>
        <v>0.875844041105637</v>
      </c>
      <c r="AP13" s="21" t="str">
        <f aca="false">IF(AND(A13&gt;Допущения!$E$19,MIN(AI13:AI$65)&gt;0),A13,"")</f>
        <v/>
      </c>
      <c r="AQ13" s="21" t="str">
        <f aca="false">IF(MIN(AJ13:AJ$65)&gt;0,A13,"")</f>
        <v/>
      </c>
    </row>
    <row r="14" customFormat="false" ht="15" hidden="false" customHeight="false" outlineLevel="0" collapsed="false">
      <c r="A14" s="28" t="n">
        <v>9</v>
      </c>
      <c r="B14" s="28" t="n">
        <f aca="false">INT((A14-1)/12)+1</f>
        <v>1</v>
      </c>
      <c r="C14" s="12" t="s">
        <v>462</v>
      </c>
      <c r="D14" s="15" t="n">
        <f aca="false">(1+Допущения!$E$11)^(B14-1)</f>
        <v>1</v>
      </c>
      <c r="E14" s="15" t="n">
        <f aca="false">(1+Допущения!$E$12)^(B14-1)</f>
        <v>1</v>
      </c>
      <c r="F14" s="17" t="n">
        <f aca="false">Допущения!$E$71*E14</f>
        <v>3084.48</v>
      </c>
      <c r="G14" s="17" t="n">
        <f aca="false">MIN(G13*(1+Допущения!$E$33),Допущения!$E$34)</f>
        <v>587731.23072</v>
      </c>
      <c r="H14" s="25" t="n">
        <f aca="false">MIN(Допущения!$E$30,G14/Допущения!$E$29)</f>
        <v>391.82082048</v>
      </c>
      <c r="I14" s="25" t="n">
        <f aca="false">MAX(0,G14-H14*Допущения!$E$29)/Допущения!$E$31</f>
        <v>0</v>
      </c>
      <c r="J14" s="25" t="n">
        <f aca="false">IF(A14&gt;=Допущения!$E$35,Допущения!$E$36,0)</f>
        <v>60</v>
      </c>
      <c r="K14" s="25" t="n">
        <f aca="false">H14+I14+J14</f>
        <v>451.82082048</v>
      </c>
      <c r="L14" s="25" t="n">
        <f aca="false">(L13-K13)*(1-Допущения!$E$44)+K13*(1-Допущения!$E$43)+K14</f>
        <v>1876.69232464711</v>
      </c>
      <c r="M14" s="25" t="n">
        <f aca="false">IF(A14&gt;=Допущения!$E$38,Допущения!$E$73/Допущения!$E$42*MIN(Допущения!$E$42,A14-Допущения!$E$38+1),0)</f>
        <v>120</v>
      </c>
      <c r="N14" s="25" t="n">
        <f aca="false">N13*(1-Допущения!$E$45)+M14</f>
        <v>236.816</v>
      </c>
      <c r="O14" s="25" t="n">
        <f aca="false">L14+N14</f>
        <v>2113.50832464711</v>
      </c>
      <c r="P14" s="25" t="n">
        <f aca="false">L14*Допущения!$E$25</f>
        <v>563.007697394133</v>
      </c>
      <c r="Q14" s="25" t="n">
        <f aca="false">L14*(1-Допущения!$E$25)+N14</f>
        <v>1550.50062725298</v>
      </c>
      <c r="R14" s="17" t="n">
        <f aca="false">MAX(Допущения!$E$18,ROUNDUP(Q14/Допущения!$E$68+P14/Допущения!$E$69,0))</f>
        <v>20</v>
      </c>
      <c r="S14" s="17" t="n">
        <f aca="false">ROUNDUP(R14/Допущения!$E$48,0)</f>
        <v>2</v>
      </c>
      <c r="T14" s="17" t="n">
        <f aca="false">L14*F14/(1+Допущения!$E$6)</f>
        <v>4744770.44387502</v>
      </c>
      <c r="U14" s="17" t="n">
        <f aca="false">N14*Допущения!$E$28*E14/(1+Допущения!$E$6)</f>
        <v>386281.836065574</v>
      </c>
      <c r="V14" s="17" t="n">
        <f aca="false">O14*Допущения!$E$26*Допущения!$E$27/(1+Допущения!$E$6)</f>
        <v>259857.580899235</v>
      </c>
      <c r="W14" s="17" t="n">
        <f aca="false">T14+U14+V14</f>
        <v>5390909.86083983</v>
      </c>
      <c r="X14" s="17" t="n">
        <f aca="false">J14*Допущения!$E$37</f>
        <v>30000</v>
      </c>
      <c r="Y14" s="17" t="n">
        <f aca="false">(R14*Допущения!$E$47+S14*Допущения!$E$49)*D14*Допущения!$E$9</f>
        <v>1979040</v>
      </c>
      <c r="Z14" s="17" t="n">
        <f aca="false">(MAX(0,R14-R13)+R14*Допущения!$E$50/12)*Допущения!$E$51*D14</f>
        <v>315000</v>
      </c>
      <c r="AA14" s="17" t="n">
        <f aca="false">O14*(Допущения!$E$53+Допущения!$E$54)+(L14*F14+N14*Допущения!$E$28*E14)*Допущения!$E$13</f>
        <v>884108.446563691</v>
      </c>
      <c r="AB14" s="17" t="n">
        <f aca="false">(R14+S14)*Допущения!$E$52</f>
        <v>59400</v>
      </c>
      <c r="AC14" s="17" t="n">
        <f aca="false">SUMPRODUCT(Допущения!$B$84:$B$91,Допущения!$C$84:$C$91,--(Допущения!$D$84:$D$91&lt;=A14))*D14*Допущения!$E$9</f>
        <v>1627500</v>
      </c>
      <c r="AD14" s="17" t="n">
        <f aca="false">(AC14+Y14)*Допущения!$E$14</f>
        <v>360654</v>
      </c>
      <c r="AE14" s="17" t="n">
        <f aca="false">Допущения!$E$55+Допущения!$E$56*O14/1000+Допущения!$E$57</f>
        <v>156908.066597177</v>
      </c>
      <c r="AF14" s="17" t="n">
        <f aca="false">SUMIF(Допущения!$B$95:$B$103,A14,Допущения!$C$95:$C$103)</f>
        <v>500000</v>
      </c>
      <c r="AG14" s="17" t="n">
        <v>0</v>
      </c>
      <c r="AH14" s="17" t="n">
        <f aca="false">G14+SUM(X14:AG14)</f>
        <v>6500341.74388087</v>
      </c>
      <c r="AI14" s="17" t="n">
        <f aca="false">W14-AH14</f>
        <v>-1109431.88304104</v>
      </c>
      <c r="AJ14" s="17" t="n">
        <f aca="false">AJ13+AI14</f>
        <v>-16691321.9258737</v>
      </c>
      <c r="AK14" s="17" t="n">
        <f aca="false">O14*Допущения!$E$58*Допущения!$E$59</f>
        <v>104618.662070032</v>
      </c>
      <c r="AL14" s="17" t="n">
        <f aca="false">T14*Допущения!$E$72</f>
        <v>239232.123220589</v>
      </c>
      <c r="AM14" s="17" t="n">
        <f aca="false">IF(MOD(A14,12)=0,INDEX($F$70:$F$74,B14),0)</f>
        <v>0</v>
      </c>
      <c r="AN14" s="17" t="n">
        <f aca="false">AI14-AM14</f>
        <v>-1109431.88304104</v>
      </c>
      <c r="AO14" s="26" t="n">
        <f aca="false">1/(1+Допущения!$E$74)^A14</f>
        <v>0.861450102465046</v>
      </c>
      <c r="AP14" s="21" t="str">
        <f aca="false">IF(AND(A14&gt;Допущения!$E$19,MIN(AI14:AI$65)&gt;0),A14,"")</f>
        <v/>
      </c>
      <c r="AQ14" s="21" t="str">
        <f aca="false">IF(MIN(AJ14:AJ$65)&gt;0,A14,"")</f>
        <v/>
      </c>
    </row>
    <row r="15" customFormat="false" ht="15" hidden="false" customHeight="false" outlineLevel="0" collapsed="false">
      <c r="A15" s="28" t="n">
        <v>10</v>
      </c>
      <c r="B15" s="28" t="n">
        <f aca="false">INT((A15-1)/12)+1</f>
        <v>1</v>
      </c>
      <c r="C15" s="12" t="s">
        <v>462</v>
      </c>
      <c r="D15" s="15" t="n">
        <f aca="false">(1+Допущения!$E$11)^(B15-1)</f>
        <v>1</v>
      </c>
      <c r="E15" s="15" t="n">
        <f aca="false">(1+Допущения!$E$12)^(B15-1)</f>
        <v>1</v>
      </c>
      <c r="F15" s="17" t="n">
        <f aca="false">Допущения!$E$71*E15</f>
        <v>3084.48</v>
      </c>
      <c r="G15" s="17" t="n">
        <f aca="false">MIN(G14*(1+Допущения!$E$33),Допущения!$E$34)</f>
        <v>634749.7291776</v>
      </c>
      <c r="H15" s="25" t="n">
        <f aca="false">MIN(Допущения!$E$30,G15/Допущения!$E$29)</f>
        <v>400</v>
      </c>
      <c r="I15" s="25" t="n">
        <f aca="false">MAX(0,G15-H15*Допущения!$E$29)/Допущения!$E$31</f>
        <v>7.72216203946672</v>
      </c>
      <c r="J15" s="25" t="n">
        <f aca="false">IF(A15&gt;=Допущения!$E$35,Допущения!$E$36,0)</f>
        <v>60</v>
      </c>
      <c r="K15" s="25" t="n">
        <f aca="false">H15+I15+J15</f>
        <v>467.722162039467</v>
      </c>
      <c r="L15" s="25" t="n">
        <f aca="false">(L14-K14)*(1-Допущения!$E$44)+K14*(1-Допущения!$E$43)+K15</f>
        <v>2198.96752131266</v>
      </c>
      <c r="M15" s="25" t="n">
        <f aca="false">IF(A15&gt;=Допущения!$E$38,Допущения!$E$73/Допущения!$E$42*MIN(Допущения!$E$42,A15-Допущения!$E$38+1),0)</f>
        <v>120</v>
      </c>
      <c r="N15" s="25" t="n">
        <f aca="false">N14*(1-Допущения!$E$45)+M15</f>
        <v>352.07968</v>
      </c>
      <c r="O15" s="25" t="n">
        <f aca="false">L15+N15</f>
        <v>2551.04720131266</v>
      </c>
      <c r="P15" s="25" t="n">
        <f aca="false">L15*Допущения!$E$25</f>
        <v>659.690256393797</v>
      </c>
      <c r="Q15" s="25" t="n">
        <f aca="false">L15*(1-Допущения!$E$25)+N15</f>
        <v>1891.35694491886</v>
      </c>
      <c r="R15" s="17" t="n">
        <f aca="false">MAX(Допущения!$E$18,ROUNDUP(Q15/Допущения!$E$68+P15/Допущения!$E$69,0))</f>
        <v>24</v>
      </c>
      <c r="S15" s="17" t="n">
        <f aca="false">ROUNDUP(R15/Допущения!$E$48,0)</f>
        <v>2</v>
      </c>
      <c r="T15" s="17" t="n">
        <f aca="false">L15*F15/(1+Допущения!$E$6)</f>
        <v>5559566.67224465</v>
      </c>
      <c r="U15" s="17" t="n">
        <f aca="false">N15*Допущения!$E$28*E15/(1+Допущения!$E$6)</f>
        <v>574293.904262295</v>
      </c>
      <c r="V15" s="17" t="n">
        <f aca="false">O15*Допущения!$E$26*Допущения!$E$27/(1+Допущения!$E$6)</f>
        <v>313653.344423687</v>
      </c>
      <c r="W15" s="17" t="n">
        <f aca="false">T15+U15+V15</f>
        <v>6447513.92093063</v>
      </c>
      <c r="X15" s="17" t="n">
        <f aca="false">J15*Допущения!$E$37</f>
        <v>30000</v>
      </c>
      <c r="Y15" s="17" t="n">
        <f aca="false">(R15*Допущения!$E$47+S15*Допущения!$E$49)*D15*Допущения!$E$9</f>
        <v>2317560</v>
      </c>
      <c r="Z15" s="17" t="n">
        <f aca="false">(MAX(0,R15-R14)+R15*Допущения!$E$50/12)*Допущения!$E$51*D15</f>
        <v>322000</v>
      </c>
      <c r="AA15" s="17" t="n">
        <f aca="false">O15*(Допущения!$E$53+Допущения!$E$54)+(L15*F15+N15*Допущения!$E$28*E15)*Допущения!$E$13</f>
        <v>1065831.80673921</v>
      </c>
      <c r="AB15" s="17" t="n">
        <f aca="false">(R15+S15)*Допущения!$E$52</f>
        <v>70200</v>
      </c>
      <c r="AC15" s="17" t="n">
        <f aca="false">SUMPRODUCT(Допущения!$B$84:$B$91,Допущения!$C$84:$C$91,--(Допущения!$D$84:$D$91&lt;=A15))*D15*Допущения!$E$9</f>
        <v>1966020</v>
      </c>
      <c r="AD15" s="17" t="n">
        <f aca="false">(AC15+Y15)*Допущения!$E$14</f>
        <v>428358</v>
      </c>
      <c r="AE15" s="17" t="n">
        <f aca="false">Допущения!$E$55+Допущения!$E$56*O15/1000+Допущения!$E$57</f>
        <v>160408.377610501</v>
      </c>
      <c r="AF15" s="17" t="n">
        <f aca="false">SUMIF(Допущения!$B$95:$B$103,A15,Допущения!$C$95:$C$103)</f>
        <v>350000</v>
      </c>
      <c r="AG15" s="17" t="n">
        <v>0</v>
      </c>
      <c r="AH15" s="17" t="n">
        <f aca="false">G15+SUM(X15:AG15)</f>
        <v>7345127.91352731</v>
      </c>
      <c r="AI15" s="17" t="n">
        <f aca="false">W15-AH15</f>
        <v>-897613.992596686</v>
      </c>
      <c r="AJ15" s="17" t="n">
        <f aca="false">AJ14+AI15</f>
        <v>-17588935.9184704</v>
      </c>
      <c r="AK15" s="17" t="n">
        <f aca="false">O15*Допущения!$E$58*Допущения!$E$59</f>
        <v>126276.836464977</v>
      </c>
      <c r="AL15" s="17" t="n">
        <f aca="false">T15*Допущения!$E$72</f>
        <v>280314.285995528</v>
      </c>
      <c r="AM15" s="17" t="n">
        <f aca="false">IF(MOD(A15,12)=0,INDEX($F$70:$F$74,B15),0)</f>
        <v>0</v>
      </c>
      <c r="AN15" s="17" t="n">
        <f aca="false">AI15-AM15</f>
        <v>-897613.992596686</v>
      </c>
      <c r="AO15" s="26" t="n">
        <f aca="false">1/(1+Допущения!$E$74)^A15</f>
        <v>0.847292719032763</v>
      </c>
      <c r="AP15" s="21" t="str">
        <f aca="false">IF(AND(A15&gt;Допущения!$E$19,MIN(AI15:AI$65)&gt;0),A15,"")</f>
        <v/>
      </c>
      <c r="AQ15" s="21" t="str">
        <f aca="false">IF(MIN(AJ15:AJ$65)&gt;0,A15,"")</f>
        <v/>
      </c>
    </row>
    <row r="16" customFormat="false" ht="15" hidden="false" customHeight="false" outlineLevel="0" collapsed="false">
      <c r="A16" s="28" t="n">
        <v>11</v>
      </c>
      <c r="B16" s="28" t="n">
        <f aca="false">INT((A16-1)/12)+1</f>
        <v>1</v>
      </c>
      <c r="C16" s="12" t="s">
        <v>462</v>
      </c>
      <c r="D16" s="15" t="n">
        <f aca="false">(1+Допущения!$E$11)^(B16-1)</f>
        <v>1</v>
      </c>
      <c r="E16" s="15" t="n">
        <f aca="false">(1+Допущения!$E$12)^(B16-1)</f>
        <v>1</v>
      </c>
      <c r="F16" s="17" t="n">
        <f aca="false">Допущения!$E$71*E16</f>
        <v>3084.48</v>
      </c>
      <c r="G16" s="17" t="n">
        <f aca="false">MIN(G15*(1+Допущения!$E$33),Допущения!$E$34)</f>
        <v>685529.707511808</v>
      </c>
      <c r="H16" s="25" t="n">
        <f aca="false">MIN(Допущения!$E$30,G16/Допущения!$E$29)</f>
        <v>400</v>
      </c>
      <c r="I16" s="25" t="n">
        <f aca="false">MAX(0,G16-H16*Допущения!$E$29)/Допущения!$E$31</f>
        <v>19.0066016692907</v>
      </c>
      <c r="J16" s="25" t="n">
        <f aca="false">IF(A16&gt;=Допущения!$E$35,Допущения!$E$36,0)</f>
        <v>60</v>
      </c>
      <c r="K16" s="25" t="n">
        <f aca="false">H16+I16+J16</f>
        <v>479.006601669291</v>
      </c>
      <c r="L16" s="25" t="n">
        <f aca="false">(L15-K15)*(1-Допущения!$E$44)+K15*(1-Допущения!$E$43)+K16</f>
        <v>2515.87809264755</v>
      </c>
      <c r="M16" s="25" t="n">
        <f aca="false">IF(A16&gt;=Допущения!$E$38,Допущения!$E$73/Допущения!$E$42*MIN(Допущения!$E$42,A16-Допущения!$E$38+1),0)</f>
        <v>120</v>
      </c>
      <c r="N16" s="25" t="n">
        <f aca="false">N15*(1-Допущения!$E$45)+M16</f>
        <v>465.0380864</v>
      </c>
      <c r="O16" s="25" t="n">
        <f aca="false">L16+N16</f>
        <v>2980.91617904755</v>
      </c>
      <c r="P16" s="25" t="n">
        <f aca="false">L16*Допущения!$E$25</f>
        <v>754.763427794265</v>
      </c>
      <c r="Q16" s="25" t="n">
        <f aca="false">L16*(1-Допущения!$E$25)+N16</f>
        <v>2226.15275125329</v>
      </c>
      <c r="R16" s="17" t="n">
        <f aca="false">MAX(Допущения!$E$18,ROUNDUP(Q16/Допущения!$E$68+P16/Допущения!$E$69,0))</f>
        <v>28</v>
      </c>
      <c r="S16" s="17" t="n">
        <f aca="false">ROUNDUP(R16/Допущения!$E$48,0)</f>
        <v>3</v>
      </c>
      <c r="T16" s="17" t="n">
        <f aca="false">L16*F16/(1+Допущения!$E$6)</f>
        <v>6360799.72066354</v>
      </c>
      <c r="U16" s="17" t="n">
        <f aca="false">N16*Допущения!$E$28*E16/(1+Допущения!$E$6)</f>
        <v>758545.731095082</v>
      </c>
      <c r="V16" s="17" t="n">
        <f aca="false">O16*Допущения!$E$26*Допущения!$E$27/(1+Допущения!$E$6)</f>
        <v>366506.087587814</v>
      </c>
      <c r="W16" s="17" t="n">
        <f aca="false">T16+U16+V16</f>
        <v>7485851.53934644</v>
      </c>
      <c r="X16" s="17" t="n">
        <f aca="false">J16*Допущения!$E$37</f>
        <v>30000</v>
      </c>
      <c r="Y16" s="17" t="n">
        <f aca="false">(R16*Допущения!$E$47+S16*Допущения!$E$49)*D16*Допущения!$E$9</f>
        <v>2799300</v>
      </c>
      <c r="Z16" s="17" t="n">
        <f aca="false">(MAX(0,R16-R15)+R16*Допущения!$E$50/12)*Допущения!$E$51*D16</f>
        <v>329000</v>
      </c>
      <c r="AA16" s="17" t="n">
        <f aca="false">O16*(Допущения!$E$53+Допущения!$E$54)+(L16*F16+N16*Допущения!$E$28*E16)*Допущения!$E$13</f>
        <v>1244375.23147298</v>
      </c>
      <c r="AB16" s="17" t="n">
        <f aca="false">(R16+S16)*Допущения!$E$52</f>
        <v>83700</v>
      </c>
      <c r="AC16" s="17" t="n">
        <f aca="false">SUMPRODUCT(Допущения!$B$84:$B$91,Допущения!$C$84:$C$91,--(Допущения!$D$84:$D$91&lt;=A16))*D16*Допущения!$E$9</f>
        <v>1966020</v>
      </c>
      <c r="AD16" s="17" t="n">
        <f aca="false">(AC16+Y16)*Допущения!$E$14</f>
        <v>476532</v>
      </c>
      <c r="AE16" s="17" t="n">
        <f aca="false">Допущения!$E$55+Допущения!$E$56*O16/1000+Допущения!$E$57</f>
        <v>163847.32943238</v>
      </c>
      <c r="AF16" s="17" t="n">
        <f aca="false">SUMIF(Допущения!$B$95:$B$103,A16,Допущения!$C$95:$C$103)</f>
        <v>350000</v>
      </c>
      <c r="AG16" s="17" t="n">
        <v>0</v>
      </c>
      <c r="AH16" s="17" t="n">
        <f aca="false">G16+SUM(X16:AG16)</f>
        <v>8128304.26841717</v>
      </c>
      <c r="AI16" s="17" t="n">
        <f aca="false">W16-AH16</f>
        <v>-642452.729070729</v>
      </c>
      <c r="AJ16" s="17" t="n">
        <f aca="false">AJ15+AI16</f>
        <v>-18231388.6475411</v>
      </c>
      <c r="AK16" s="17" t="n">
        <f aca="false">O16*Допущения!$E$58*Допущения!$E$59</f>
        <v>147555.350862854</v>
      </c>
      <c r="AL16" s="17" t="n">
        <f aca="false">T16*Допущения!$E$72</f>
        <v>320712.590957826</v>
      </c>
      <c r="AM16" s="17" t="n">
        <f aca="false">IF(MOD(A16,12)=0,INDEX($F$70:$F$74,B16),0)</f>
        <v>0</v>
      </c>
      <c r="AN16" s="17" t="n">
        <f aca="false">AI16-AM16</f>
        <v>-642452.729070729</v>
      </c>
      <c r="AO16" s="26" t="n">
        <f aca="false">1/(1+Допущения!$E$74)^A16</f>
        <v>0.833368003174696</v>
      </c>
      <c r="AP16" s="21" t="str">
        <f aca="false">IF(AND(A16&gt;Допущения!$E$19,MIN(AI16:AI$65)&gt;0),A16,"")</f>
        <v/>
      </c>
      <c r="AQ16" s="21" t="str">
        <f aca="false">IF(MIN(AJ16:AJ$65)&gt;0,A16,"")</f>
        <v/>
      </c>
    </row>
    <row r="17" customFormat="false" ht="15" hidden="false" customHeight="false" outlineLevel="0" collapsed="false">
      <c r="A17" s="28" t="n">
        <v>12</v>
      </c>
      <c r="B17" s="28" t="n">
        <f aca="false">INT((A17-1)/12)+1</f>
        <v>1</v>
      </c>
      <c r="C17" s="12" t="s">
        <v>462</v>
      </c>
      <c r="D17" s="15" t="n">
        <f aca="false">(1+Допущения!$E$11)^(B17-1)</f>
        <v>1</v>
      </c>
      <c r="E17" s="15" t="n">
        <f aca="false">(1+Допущения!$E$12)^(B17-1)</f>
        <v>1</v>
      </c>
      <c r="F17" s="17" t="n">
        <f aca="false">Допущения!$E$71*E17</f>
        <v>3084.48</v>
      </c>
      <c r="G17" s="17" t="n">
        <f aca="false">MIN(G16*(1+Допущения!$E$33),Допущения!$E$34)</f>
        <v>740372.084112753</v>
      </c>
      <c r="H17" s="25" t="n">
        <f aca="false">MIN(Допущения!$E$30,G17/Допущения!$E$29)</f>
        <v>400</v>
      </c>
      <c r="I17" s="25" t="n">
        <f aca="false">MAX(0,G17-H17*Допущения!$E$29)/Допущения!$E$31</f>
        <v>31.1937964695007</v>
      </c>
      <c r="J17" s="25" t="n">
        <f aca="false">IF(A17&gt;=Допущения!$E$35,Допущения!$E$36,0)</f>
        <v>60</v>
      </c>
      <c r="K17" s="25" t="n">
        <f aca="false">H17+I17+J17</f>
        <v>491.193796469501</v>
      </c>
      <c r="L17" s="25" t="n">
        <f aca="false">(L16-K16)*(1-Допущения!$E$44)+K16*(1-Допущения!$E$43)+K17</f>
        <v>2829.19148372256</v>
      </c>
      <c r="M17" s="25" t="n">
        <f aca="false">IF(A17&gt;=Допущения!$E$38,Допущения!$E$73/Допущения!$E$42*MIN(Допущения!$E$42,A17-Допущения!$E$38+1),0)</f>
        <v>120</v>
      </c>
      <c r="N17" s="25" t="n">
        <f aca="false">N16*(1-Допущения!$E$45)+M17</f>
        <v>575.737324672</v>
      </c>
      <c r="O17" s="25" t="n">
        <f aca="false">L17+N17</f>
        <v>3404.92880839456</v>
      </c>
      <c r="P17" s="25" t="n">
        <f aca="false">L17*Допущения!$E$25</f>
        <v>848.757445116767</v>
      </c>
      <c r="Q17" s="25" t="n">
        <f aca="false">L17*(1-Допущения!$E$25)+N17</f>
        <v>2556.17136327779</v>
      </c>
      <c r="R17" s="17" t="n">
        <f aca="false">MAX(Допущения!$E$18,ROUNDUP(Q17/Допущения!$E$68+P17/Допущения!$E$69,0))</f>
        <v>31</v>
      </c>
      <c r="S17" s="17" t="n">
        <f aca="false">ROUNDUP(R17/Допущения!$E$48,0)</f>
        <v>3</v>
      </c>
      <c r="T17" s="17" t="n">
        <f aca="false">L17*F17/(1+Допущения!$E$6)</f>
        <v>7152938.15386275</v>
      </c>
      <c r="U17" s="17" t="n">
        <f aca="false">N17*Допущения!$E$28*E17/(1+Допущения!$E$6)</f>
        <v>939112.521391213</v>
      </c>
      <c r="V17" s="17" t="n">
        <f aca="false">O17*Допущения!$E$26*Допущения!$E$27/(1+Допущения!$E$6)</f>
        <v>418638.787917364</v>
      </c>
      <c r="W17" s="17" t="n">
        <f aca="false">T17+U17+V17</f>
        <v>8510689.46317133</v>
      </c>
      <c r="X17" s="17" t="n">
        <f aca="false">J17*Допущения!$E$37</f>
        <v>30000</v>
      </c>
      <c r="Y17" s="17" t="n">
        <f aca="false">(R17*Допущения!$E$47+S17*Допущения!$E$49)*D17*Допущения!$E$9</f>
        <v>3053190</v>
      </c>
      <c r="Z17" s="17" t="n">
        <f aca="false">(MAX(0,R17-R16)+R17*Допущения!$E$50/12)*Допущения!$E$51*D17</f>
        <v>264250</v>
      </c>
      <c r="AA17" s="17" t="n">
        <f aca="false">O17*(Допущения!$E$53+Допущения!$E$54)+(L17*F17+N17*Допущения!$E$28*E17)*Допущения!$E$13</f>
        <v>1420500.44789259</v>
      </c>
      <c r="AB17" s="17" t="n">
        <f aca="false">(R17+S17)*Допущения!$E$52</f>
        <v>91800</v>
      </c>
      <c r="AC17" s="17" t="n">
        <f aca="false">SUMPRODUCT(Допущения!$B$84:$B$91,Допущения!$C$84:$C$91,--(Допущения!$D$84:$D$91&lt;=A17))*D17*Допущения!$E$9</f>
        <v>1966020</v>
      </c>
      <c r="AD17" s="17" t="n">
        <f aca="false">(AC17+Y17)*Допущения!$E$14</f>
        <v>501921</v>
      </c>
      <c r="AE17" s="17" t="n">
        <f aca="false">Допущения!$E$55+Допущения!$E$56*O17/1000+Допущения!$E$57</f>
        <v>167239.430467156</v>
      </c>
      <c r="AF17" s="17" t="n">
        <f aca="false">SUMIF(Допущения!$B$95:$B$103,A17,Допущения!$C$95:$C$103)</f>
        <v>300000</v>
      </c>
      <c r="AG17" s="17" t="n">
        <v>0</v>
      </c>
      <c r="AH17" s="17" t="n">
        <f aca="false">G17+SUM(X17:AG17)</f>
        <v>8535292.9624725</v>
      </c>
      <c r="AI17" s="17" t="n">
        <f aca="false">W17-AH17</f>
        <v>-24603.4993011728</v>
      </c>
      <c r="AJ17" s="17" t="n">
        <f aca="false">AJ16+AI17</f>
        <v>-18255992.1468423</v>
      </c>
      <c r="AK17" s="17" t="n">
        <f aca="false">O17*Допущения!$E$58*Допущения!$E$59</f>
        <v>168543.976015531</v>
      </c>
      <c r="AL17" s="17" t="n">
        <f aca="false">T17*Допущения!$E$72</f>
        <v>360652.34389224</v>
      </c>
      <c r="AM17" s="17" t="n">
        <f aca="false">IF(MOD(A17,12)=0,INDEX($F$70:$F$74,B17),0)</f>
        <v>0</v>
      </c>
      <c r="AN17" s="17" t="n">
        <f aca="false">AI17-AM17</f>
        <v>-24603.4993011728</v>
      </c>
      <c r="AO17" s="26" t="n">
        <f aca="false">1/(1+Допущения!$E$74)^A17</f>
        <v>0.819672131147542</v>
      </c>
      <c r="AP17" s="21" t="str">
        <f aca="false">IF(AND(A17&gt;Допущения!$E$19,MIN(AI17:AI$65)&gt;0),A17,"")</f>
        <v/>
      </c>
      <c r="AQ17" s="21" t="str">
        <f aca="false">IF(MIN(AJ17:AJ$65)&gt;0,A17,"")</f>
        <v/>
      </c>
    </row>
    <row r="18" customFormat="false" ht="15" hidden="false" customHeight="false" outlineLevel="0" collapsed="false">
      <c r="A18" s="28" t="n">
        <v>13</v>
      </c>
      <c r="B18" s="28" t="n">
        <f aca="false">INT((A18-1)/12)+1</f>
        <v>2</v>
      </c>
      <c r="C18" s="12" t="s">
        <v>462</v>
      </c>
      <c r="D18" s="15" t="n">
        <f aca="false">(1+Допущения!$E$11)^(B18-1)</f>
        <v>1.08</v>
      </c>
      <c r="E18" s="15" t="n">
        <f aca="false">(1+Допущения!$E$12)^(B18-1)</f>
        <v>1.07</v>
      </c>
      <c r="F18" s="17" t="n">
        <f aca="false">Допущения!$E$71*E18</f>
        <v>3300.3936</v>
      </c>
      <c r="G18" s="17" t="n">
        <f aca="false">MIN(G17*(1+Допущения!$E$33),Допущения!$E$34)</f>
        <v>799601.850841773</v>
      </c>
      <c r="H18" s="25" t="n">
        <f aca="false">MIN(Допущения!$E$30,G18/Допущения!$E$29)</f>
        <v>400</v>
      </c>
      <c r="I18" s="25" t="n">
        <f aca="false">MAX(0,G18-H18*Допущения!$E$29)/Допущения!$E$31</f>
        <v>44.3559668537274</v>
      </c>
      <c r="J18" s="25" t="n">
        <f aca="false">IF(A18&gt;=Допущения!$E$35,Допущения!$E$36,0)</f>
        <v>60</v>
      </c>
      <c r="K18" s="25" t="n">
        <f aca="false">H18+I18+J18</f>
        <v>504.355966853727</v>
      </c>
      <c r="L18" s="25" t="n">
        <f aca="false">(L17-K17)*(1-Допущения!$E$44)+K17*(1-Допущения!$E$43)+K18</f>
        <v>3139.92267128539</v>
      </c>
      <c r="M18" s="25" t="n">
        <f aca="false">IF(A18&gt;=Допущения!$E$38,Допущения!$E$73/Допущения!$E$42*MIN(Допущения!$E$42,A18-Допущения!$E$38+1),0)</f>
        <v>120</v>
      </c>
      <c r="N18" s="25" t="n">
        <f aca="false">N17*(1-Допущения!$E$45)+M18</f>
        <v>684.22257817856</v>
      </c>
      <c r="O18" s="25" t="n">
        <f aca="false">L18+N18</f>
        <v>3824.14524946395</v>
      </c>
      <c r="P18" s="25" t="n">
        <f aca="false">L18*Допущения!$E$25</f>
        <v>941.976801385616</v>
      </c>
      <c r="Q18" s="25" t="n">
        <f aca="false">L18*(1-Допущения!$E$25)+N18</f>
        <v>2882.16844807833</v>
      </c>
      <c r="R18" s="17" t="n">
        <f aca="false">MAX(Допущения!$E$18,ROUNDUP(Q18/Допущения!$E$68+P18/Допущения!$E$69,0))</f>
        <v>35</v>
      </c>
      <c r="S18" s="17" t="n">
        <f aca="false">ROUNDUP(R18/Допущения!$E$48,0)</f>
        <v>3</v>
      </c>
      <c r="T18" s="17" t="n">
        <f aca="false">L18*F18/(1+Допущения!$E$6)</f>
        <v>8494246.46623377</v>
      </c>
      <c r="U18" s="17" t="n">
        <f aca="false">N18*Допущения!$E$28*E18/(1+Допущения!$E$6)</f>
        <v>1194192.73419312</v>
      </c>
      <c r="V18" s="17" t="n">
        <f aca="false">O18*Допущения!$E$26*Допущения!$E$27/(1+Допущения!$E$6)</f>
        <v>470181.792966879</v>
      </c>
      <c r="W18" s="17" t="n">
        <f aca="false">T18+U18+V18</f>
        <v>10158620.9933938</v>
      </c>
      <c r="X18" s="17" t="n">
        <f aca="false">J18*Допущения!$E$37</f>
        <v>30000</v>
      </c>
      <c r="Y18" s="17" t="n">
        <f aca="false">(R18*Допущения!$E$47+S18*Допущения!$E$49)*D18*Допущения!$E$9</f>
        <v>3663046.8</v>
      </c>
      <c r="Z18" s="17" t="n">
        <f aca="false">(MAX(0,R18-R17)+R18*Допущения!$E$50/12)*Допущения!$E$51*D18</f>
        <v>368550</v>
      </c>
      <c r="AA18" s="17" t="n">
        <f aca="false">O18*(Допущения!$E$53+Допущения!$E$54)+(L18*F18+N18*Допущения!$E$28*E18)*Допущения!$E$13</f>
        <v>1608571.14089572</v>
      </c>
      <c r="AB18" s="17" t="n">
        <f aca="false">(R18+S18)*Допущения!$E$52</f>
        <v>102600</v>
      </c>
      <c r="AC18" s="17" t="n">
        <f aca="false">SUMPRODUCT(Допущения!$B$84:$B$91,Допущения!$C$84:$C$91,--(Допущения!$D$84:$D$91&lt;=A18))*D18*Допущения!$E$9</f>
        <v>2123301.6</v>
      </c>
      <c r="AD18" s="17" t="n">
        <f aca="false">(AC18+Y18)*Допущения!$E$14</f>
        <v>578634.84</v>
      </c>
      <c r="AE18" s="17" t="n">
        <f aca="false">Допущения!$E$55+Допущения!$E$56*O18/1000+Допущения!$E$57</f>
        <v>170593.161995712</v>
      </c>
      <c r="AF18" s="17" t="n">
        <f aca="false">SUMIF(Допущения!$B$95:$B$103,A18,Допущения!$C$95:$C$103)</f>
        <v>0</v>
      </c>
      <c r="AG18" s="17" t="n">
        <v>0</v>
      </c>
      <c r="AH18" s="17" t="n">
        <f aca="false">G18+SUM(X18:AG18)</f>
        <v>9444899.3937332</v>
      </c>
      <c r="AI18" s="17" t="n">
        <f aca="false">W18-AH18</f>
        <v>713721.599660564</v>
      </c>
      <c r="AJ18" s="17" t="n">
        <f aca="false">AJ17+AI18</f>
        <v>-17542270.5471817</v>
      </c>
      <c r="AK18" s="17" t="n">
        <f aca="false">O18*Допущения!$E$58*Допущения!$E$59</f>
        <v>189295.189848465</v>
      </c>
      <c r="AL18" s="17" t="n">
        <f aca="false">T18*Допущения!$E$72</f>
        <v>428281.334431955</v>
      </c>
      <c r="AM18" s="17" t="n">
        <f aca="false">IF(MOD(A18,12)=0,INDEX($F$70:$F$74,B18),0)</f>
        <v>0</v>
      </c>
      <c r="AN18" s="17" t="n">
        <f aca="false">AI18-AM18</f>
        <v>713721.599660564</v>
      </c>
      <c r="AO18" s="26" t="n">
        <f aca="false">1/(1+Допущения!$E$74)^A18</f>
        <v>0.806201342048782</v>
      </c>
      <c r="AP18" s="21" t="n">
        <f aca="false">IF(AND(A18&gt;Допущения!$E$19,MIN(AI18:AI$65)&gt;0),A18,"")</f>
        <v>13</v>
      </c>
      <c r="AQ18" s="21" t="str">
        <f aca="false">IF(MIN(AJ18:AJ$65)&gt;0,A18,"")</f>
        <v/>
      </c>
    </row>
    <row r="19" customFormat="false" ht="15" hidden="false" customHeight="false" outlineLevel="0" collapsed="false">
      <c r="A19" s="28" t="n">
        <v>14</v>
      </c>
      <c r="B19" s="28" t="n">
        <f aca="false">INT((A19-1)/12)+1</f>
        <v>2</v>
      </c>
      <c r="C19" s="12" t="s">
        <v>462</v>
      </c>
      <c r="D19" s="15" t="n">
        <f aca="false">(1+Допущения!$E$11)^(B19-1)</f>
        <v>1.08</v>
      </c>
      <c r="E19" s="15" t="n">
        <f aca="false">(1+Допущения!$E$12)^(B19-1)</f>
        <v>1.07</v>
      </c>
      <c r="F19" s="17" t="n">
        <f aca="false">Допущения!$E$71*E19</f>
        <v>3300.3936</v>
      </c>
      <c r="G19" s="17" t="n">
        <f aca="false">MIN(G18*(1+Допущения!$E$33),Допущения!$E$34)</f>
        <v>863569.998909115</v>
      </c>
      <c r="H19" s="25" t="n">
        <f aca="false">MIN(Допущения!$E$30,G19/Допущения!$E$29)</f>
        <v>400</v>
      </c>
      <c r="I19" s="25" t="n">
        <f aca="false">MAX(0,G19-H19*Допущения!$E$29)/Допущения!$E$31</f>
        <v>58.5711108686922</v>
      </c>
      <c r="J19" s="25" t="n">
        <f aca="false">IF(A19&gt;=Допущения!$E$35,Допущения!$E$36,0)</f>
        <v>60</v>
      </c>
      <c r="K19" s="25" t="n">
        <f aca="false">H19+I19+J19</f>
        <v>518.571110868692</v>
      </c>
      <c r="L19" s="25" t="n">
        <f aca="false">(L18-K18)*(1-Допущения!$E$44)+K18*(1-Допущения!$E$43)+K19</f>
        <v>3449.10920642098</v>
      </c>
      <c r="M19" s="25" t="n">
        <f aca="false">IF(A19&gt;=Допущения!$E$38,Допущения!$E$73/Допущения!$E$42*MIN(Допущения!$E$42,A19-Допущения!$E$38+1),0)</f>
        <v>120</v>
      </c>
      <c r="N19" s="25" t="n">
        <f aca="false">N18*(1-Допущения!$E$45)+M19</f>
        <v>790.538126614989</v>
      </c>
      <c r="O19" s="25" t="n">
        <f aca="false">L19+N19</f>
        <v>4239.64733303597</v>
      </c>
      <c r="P19" s="25" t="n">
        <f aca="false">L19*Допущения!$E$25</f>
        <v>1034.7327619263</v>
      </c>
      <c r="Q19" s="25" t="n">
        <f aca="false">L19*(1-Допущения!$E$25)+N19</f>
        <v>3204.91457110968</v>
      </c>
      <c r="R19" s="17" t="n">
        <f aca="false">MAX(Допущения!$E$18,ROUNDUP(Q19/Допущения!$E$68+P19/Допущения!$E$69,0))</f>
        <v>39</v>
      </c>
      <c r="S19" s="17" t="n">
        <f aca="false">ROUNDUP(R19/Допущения!$E$48,0)</f>
        <v>4</v>
      </c>
      <c r="T19" s="17" t="n">
        <f aca="false">L19*F19/(1+Допущения!$E$6)</f>
        <v>9330670.45128926</v>
      </c>
      <c r="U19" s="17" t="n">
        <f aca="false">N19*Допущения!$E$28*E19/(1+Допущения!$E$6)</f>
        <v>1379748.22377155</v>
      </c>
      <c r="V19" s="17" t="n">
        <f aca="false">O19*Допущения!$E$26*Допущения!$E$27/(1+Допущения!$E$6)</f>
        <v>521268.114717538</v>
      </c>
      <c r="W19" s="17" t="n">
        <f aca="false">T19+U19+V19</f>
        <v>11231686.7897784</v>
      </c>
      <c r="X19" s="17" t="n">
        <f aca="false">J19*Допущения!$E$37</f>
        <v>30000</v>
      </c>
      <c r="Y19" s="17" t="n">
        <f aca="false">(R19*Допущения!$E$47+S19*Допущения!$E$49)*D19*Допущения!$E$9</f>
        <v>4183326</v>
      </c>
      <c r="Z19" s="17" t="n">
        <f aca="false">(MAX(0,R19-R18)+R19*Допущения!$E$50/12)*Допущения!$E$51*D19</f>
        <v>376110</v>
      </c>
      <c r="AA19" s="17" t="n">
        <f aca="false">O19*(Допущения!$E$53+Допущения!$E$54)+(L19*F19+N19*Допущения!$E$28*E19)*Допущения!$E$13</f>
        <v>1782672.07066247</v>
      </c>
      <c r="AB19" s="17" t="n">
        <f aca="false">(R19+S19)*Допущения!$E$52</f>
        <v>116100</v>
      </c>
      <c r="AC19" s="17" t="n">
        <f aca="false">SUMPRODUCT(Допущения!$B$84:$B$91,Допущения!$C$84:$C$91,--(Допущения!$D$84:$D$91&lt;=A19))*D19*Допущения!$E$9</f>
        <v>2123301.6</v>
      </c>
      <c r="AD19" s="17" t="n">
        <f aca="false">(AC19+Y19)*Допущения!$E$14</f>
        <v>630662.76</v>
      </c>
      <c r="AE19" s="17" t="n">
        <f aca="false">Допущения!$E$55+Допущения!$E$56*O19/1000+Допущения!$E$57</f>
        <v>173917.178664288</v>
      </c>
      <c r="AF19" s="17" t="n">
        <f aca="false">SUMIF(Допущения!$B$95:$B$103,A19,Допущения!$C$95:$C$103)</f>
        <v>0</v>
      </c>
      <c r="AG19" s="17" t="n">
        <v>0</v>
      </c>
      <c r="AH19" s="17" t="n">
        <f aca="false">G19+SUM(X19:AG19)</f>
        <v>10279659.6082359</v>
      </c>
      <c r="AI19" s="17" t="n">
        <f aca="false">W19-AH19</f>
        <v>952027.18154248</v>
      </c>
      <c r="AJ19" s="17" t="n">
        <f aca="false">AJ18+AI19</f>
        <v>-16590243.3656393</v>
      </c>
      <c r="AK19" s="17" t="n">
        <f aca="false">O19*Допущения!$E$58*Допущения!$E$59</f>
        <v>209862.542985281</v>
      </c>
      <c r="AL19" s="17" t="n">
        <f aca="false">T19*Допущения!$E$72</f>
        <v>470453.972333912</v>
      </c>
      <c r="AM19" s="17" t="n">
        <f aca="false">IF(MOD(A19,12)=0,INDEX($F$70:$F$74,B19),0)</f>
        <v>0</v>
      </c>
      <c r="AN19" s="17" t="n">
        <f aca="false">AI19-AM19</f>
        <v>952027.18154248</v>
      </c>
      <c r="AO19" s="26" t="n">
        <f aca="false">1/(1+Допущения!$E$74)^A19</f>
        <v>0.792951936783932</v>
      </c>
      <c r="AP19" s="21" t="n">
        <f aca="false">IF(AND(A19&gt;Допущения!$E$19,MIN(AI19:AI$65)&gt;0),A19,"")</f>
        <v>14</v>
      </c>
      <c r="AQ19" s="21" t="str">
        <f aca="false">IF(MIN(AJ19:AJ$65)&gt;0,A19,"")</f>
        <v/>
      </c>
    </row>
    <row r="20" customFormat="false" ht="15" hidden="false" customHeight="false" outlineLevel="0" collapsed="false">
      <c r="A20" s="28" t="n">
        <v>15</v>
      </c>
      <c r="B20" s="28" t="n">
        <f aca="false">INT((A20-1)/12)+1</f>
        <v>2</v>
      </c>
      <c r="C20" s="12" t="s">
        <v>462</v>
      </c>
      <c r="D20" s="15" t="n">
        <f aca="false">(1+Допущения!$E$11)^(B20-1)</f>
        <v>1.08</v>
      </c>
      <c r="E20" s="15" t="n">
        <f aca="false">(1+Допущения!$E$12)^(B20-1)</f>
        <v>1.07</v>
      </c>
      <c r="F20" s="17" t="n">
        <f aca="false">Допущения!$E$71*E20</f>
        <v>3300.3936</v>
      </c>
      <c r="G20" s="17" t="n">
        <f aca="false">MIN(G19*(1+Допущения!$E$33),Допущения!$E$34)</f>
        <v>932655.598821844</v>
      </c>
      <c r="H20" s="25" t="n">
        <f aca="false">MIN(Допущения!$E$30,G20/Допущения!$E$29)</f>
        <v>400</v>
      </c>
      <c r="I20" s="25" t="n">
        <f aca="false">MAX(0,G20-H20*Допущения!$E$29)/Допущения!$E$31</f>
        <v>73.9234664048543</v>
      </c>
      <c r="J20" s="25" t="n">
        <f aca="false">IF(A20&gt;=Допущения!$E$35,Допущения!$E$36,0)</f>
        <v>60</v>
      </c>
      <c r="K20" s="25" t="n">
        <f aca="false">H20+I20+J20</f>
        <v>533.923466404854</v>
      </c>
      <c r="L20" s="25" t="n">
        <f aca="false">(L19-K19)*(1-Допущения!$E$44)+K19*(1-Допущения!$E$43)+K20</f>
        <v>3757.81565856962</v>
      </c>
      <c r="M20" s="25" t="n">
        <f aca="false">IF(A20&gt;=Допущения!$E$38,Допущения!$E$73/Допущения!$E$42*MIN(Допущения!$E$42,A20-Допущения!$E$38+1),0)</f>
        <v>120</v>
      </c>
      <c r="N20" s="25" t="n">
        <f aca="false">N19*(1-Допущения!$E$45)+M20</f>
        <v>894.727364082689</v>
      </c>
      <c r="O20" s="25" t="n">
        <f aca="false">L20+N20</f>
        <v>4652.54302265231</v>
      </c>
      <c r="P20" s="25" t="n">
        <f aca="false">L20*Допущения!$E$25</f>
        <v>1127.34469757089</v>
      </c>
      <c r="Q20" s="25" t="n">
        <f aca="false">L20*(1-Допущения!$E$25)+N20</f>
        <v>3525.19832508142</v>
      </c>
      <c r="R20" s="17" t="n">
        <f aca="false">MAX(Допущения!$E$18,ROUNDUP(Q20/Допущения!$E$68+P20/Допущения!$E$69,0))</f>
        <v>43</v>
      </c>
      <c r="S20" s="17" t="n">
        <f aca="false">ROUNDUP(R20/Допущения!$E$48,0)</f>
        <v>4</v>
      </c>
      <c r="T20" s="17" t="n">
        <f aca="false">L20*F20/(1+Допущения!$E$6)</f>
        <v>10165795.6963303</v>
      </c>
      <c r="U20" s="17" t="n">
        <f aca="false">N20*Допущения!$E$28*E20/(1+Допущения!$E$6)</f>
        <v>1561592.60355842</v>
      </c>
      <c r="V20" s="17" t="n">
        <f aca="false">O20*Допущения!$E$26*Допущения!$E$27/(1+Допущения!$E$6)</f>
        <v>572033.978194956</v>
      </c>
      <c r="W20" s="17" t="n">
        <f aca="false">T20+U20+V20</f>
        <v>12299422.2780837</v>
      </c>
      <c r="X20" s="17" t="n">
        <f aca="false">J20*Допущения!$E$37</f>
        <v>30000</v>
      </c>
      <c r="Y20" s="17" t="n">
        <f aca="false">(R20*Допущения!$E$47+S20*Допущения!$E$49)*D20*Допущения!$E$9</f>
        <v>4548927.6</v>
      </c>
      <c r="Z20" s="17" t="n">
        <f aca="false">(MAX(0,R20-R19)+R20*Допущения!$E$50/12)*Допущения!$E$51*D20</f>
        <v>383670</v>
      </c>
      <c r="AA20" s="17" t="n">
        <f aca="false">O20*(Допущения!$E$53+Допущения!$E$54)+(L20*F20+N20*Допущения!$E$28*E20)*Допущения!$E$13</f>
        <v>1955711.65033365</v>
      </c>
      <c r="AB20" s="17" t="n">
        <f aca="false">(R20+S20)*Допущения!$E$52</f>
        <v>126900</v>
      </c>
      <c r="AC20" s="17" t="n">
        <f aca="false">SUMPRODUCT(Допущения!$B$84:$B$91,Допущения!$C$84:$C$91,--(Допущения!$D$84:$D$91&lt;=A20))*D20*Допущения!$E$9</f>
        <v>2123301.6</v>
      </c>
      <c r="AD20" s="17" t="n">
        <f aca="false">(AC20+Y20)*Допущения!$E$14</f>
        <v>667222.92</v>
      </c>
      <c r="AE20" s="17" t="n">
        <f aca="false">Допущения!$E$55+Допущения!$E$56*O20/1000+Допущения!$E$57</f>
        <v>177220.344181218</v>
      </c>
      <c r="AF20" s="17" t="n">
        <f aca="false">SUMIF(Допущения!$B$95:$B$103,A20,Допущения!$C$95:$C$103)</f>
        <v>0</v>
      </c>
      <c r="AG20" s="17" t="n">
        <v>0</v>
      </c>
      <c r="AH20" s="17" t="n">
        <f aca="false">G20+SUM(X20:AG20)</f>
        <v>10945609.7133367</v>
      </c>
      <c r="AI20" s="17" t="n">
        <f aca="false">W20-AH20</f>
        <v>1353812.56474696</v>
      </c>
      <c r="AJ20" s="17" t="n">
        <f aca="false">AJ19+AI20</f>
        <v>-15236430.8008923</v>
      </c>
      <c r="AK20" s="17" t="n">
        <f aca="false">O20*Допущения!$E$58*Допущения!$E$59</f>
        <v>230300.879621289</v>
      </c>
      <c r="AL20" s="17" t="n">
        <f aca="false">T20*Допущения!$E$72</f>
        <v>512561.127546065</v>
      </c>
      <c r="AM20" s="17" t="n">
        <f aca="false">IF(MOD(A20,12)=0,INDEX($F$70:$F$74,B20),0)</f>
        <v>0</v>
      </c>
      <c r="AN20" s="17" t="n">
        <f aca="false">AI20-AM20</f>
        <v>1353812.56474696</v>
      </c>
      <c r="AO20" s="26" t="n">
        <f aca="false">1/(1+Допущения!$E$74)^A20</f>
        <v>0.77992027705077</v>
      </c>
      <c r="AP20" s="21" t="n">
        <f aca="false">IF(AND(A20&gt;Допущения!$E$19,MIN(AI20:AI$65)&gt;0),A20,"")</f>
        <v>15</v>
      </c>
      <c r="AQ20" s="21" t="str">
        <f aca="false">IF(MIN(AJ20:AJ$65)&gt;0,A20,"")</f>
        <v/>
      </c>
    </row>
    <row r="21" customFormat="false" ht="15" hidden="false" customHeight="false" outlineLevel="0" collapsed="false">
      <c r="A21" s="28" t="n">
        <v>16</v>
      </c>
      <c r="B21" s="28" t="n">
        <f aca="false">INT((A21-1)/12)+1</f>
        <v>2</v>
      </c>
      <c r="C21" s="12" t="s">
        <v>462</v>
      </c>
      <c r="D21" s="15" t="n">
        <f aca="false">(1+Допущения!$E$11)^(B21-1)</f>
        <v>1.08</v>
      </c>
      <c r="E21" s="15" t="n">
        <f aca="false">(1+Допущения!$E$12)^(B21-1)</f>
        <v>1.07</v>
      </c>
      <c r="F21" s="17" t="n">
        <f aca="false">Допущения!$E$71*E21</f>
        <v>3300.3936</v>
      </c>
      <c r="G21" s="17" t="n">
        <f aca="false">MIN(G20*(1+Допущения!$E$33),Допущения!$E$34)</f>
        <v>1007268.04672759</v>
      </c>
      <c r="H21" s="25" t="n">
        <f aca="false">MIN(Допущения!$E$30,G21/Допущения!$E$29)</f>
        <v>400</v>
      </c>
      <c r="I21" s="25" t="n">
        <f aca="false">MAX(0,G21-H21*Допущения!$E$29)/Допущения!$E$31</f>
        <v>90.5040103839093</v>
      </c>
      <c r="J21" s="25" t="n">
        <f aca="false">IF(A21&gt;=Допущения!$E$35,Допущения!$E$36,0)</f>
        <v>60</v>
      </c>
      <c r="K21" s="25" t="n">
        <f aca="false">H21+I21+J21</f>
        <v>550.504010383909</v>
      </c>
      <c r="L21" s="25" t="n">
        <f aca="false">(L20-K20)*(1-Допущения!$E$44)+K20*(1-Допущения!$E$43)+K21</f>
        <v>4067.13829635324</v>
      </c>
      <c r="M21" s="25" t="n">
        <f aca="false">IF(A21&gt;=Допущения!$E$38,Допущения!$E$73/Допущения!$E$42*MIN(Допущения!$E$42,A21-Допущения!$E$38+1),0)</f>
        <v>120</v>
      </c>
      <c r="N21" s="25" t="n">
        <f aca="false">N20*(1-Допущения!$E$45)+M21</f>
        <v>996.832816801035</v>
      </c>
      <c r="O21" s="25" t="n">
        <f aca="false">L21+N21</f>
        <v>5063.97111315428</v>
      </c>
      <c r="P21" s="25" t="n">
        <f aca="false">L21*Допущения!$E$25</f>
        <v>1220.14148890597</v>
      </c>
      <c r="Q21" s="25" t="n">
        <f aca="false">L21*(1-Допущения!$E$25)+N21</f>
        <v>3843.8296242483</v>
      </c>
      <c r="R21" s="17" t="n">
        <f aca="false">MAX(Допущения!$E$18,ROUNDUP(Q21/Допущения!$E$68+P21/Допущения!$E$69,0))</f>
        <v>46</v>
      </c>
      <c r="S21" s="17" t="n">
        <f aca="false">ROUNDUP(R21/Допущения!$E$48,0)</f>
        <v>4</v>
      </c>
      <c r="T21" s="17" t="n">
        <f aca="false">L21*F21/(1+Допущения!$E$6)</f>
        <v>11002587.8718026</v>
      </c>
      <c r="U21" s="17" t="n">
        <f aca="false">N21*Допущения!$E$28*E21/(1+Допущения!$E$6)</f>
        <v>1739800.09574954</v>
      </c>
      <c r="V21" s="17" t="n">
        <f aca="false">O21*Допущения!$E$26*Допущения!$E$27/(1+Допущения!$E$6)</f>
        <v>622619.399158313</v>
      </c>
      <c r="W21" s="17" t="n">
        <f aca="false">T21+U21+V21</f>
        <v>13365007.3667104</v>
      </c>
      <c r="X21" s="17" t="n">
        <f aca="false">J21*Допущения!$E$37</f>
        <v>30000</v>
      </c>
      <c r="Y21" s="17" t="n">
        <f aca="false">(R21*Допущения!$E$47+S21*Допущения!$E$49)*D21*Допущения!$E$9</f>
        <v>4823128.8</v>
      </c>
      <c r="Z21" s="17" t="n">
        <f aca="false">(MAX(0,R21-R20)+R21*Допущения!$E$50/12)*Допущения!$E$51*D21</f>
        <v>313740</v>
      </c>
      <c r="AA21" s="17" t="n">
        <f aca="false">O21*(Допущения!$E$53+Допущения!$E$54)+(L21*F21+N21*Допущения!$E$28*E21)*Допущения!$E$13</f>
        <v>2128172.29606876</v>
      </c>
      <c r="AB21" s="17" t="n">
        <f aca="false">(R21+S21)*Допущения!$E$52</f>
        <v>135000</v>
      </c>
      <c r="AC21" s="17" t="n">
        <f aca="false">SUMPRODUCT(Допущения!$B$84:$B$91,Допущения!$C$84:$C$91,--(Допущения!$D$84:$D$91&lt;=A21))*D21*Допущения!$E$9</f>
        <v>2123301.6</v>
      </c>
      <c r="AD21" s="17" t="n">
        <f aca="false">(AC21+Y21)*Допущения!$E$14</f>
        <v>694643.04</v>
      </c>
      <c r="AE21" s="17" t="n">
        <f aca="false">Допущения!$E$55+Допущения!$E$56*O21/1000+Допущения!$E$57</f>
        <v>180511.768905234</v>
      </c>
      <c r="AF21" s="17" t="n">
        <f aca="false">SUMIF(Допущения!$B$95:$B$103,A21,Допущения!$C$95:$C$103)</f>
        <v>0</v>
      </c>
      <c r="AG21" s="17" t="n">
        <v>0</v>
      </c>
      <c r="AH21" s="17" t="n">
        <f aca="false">G21+SUM(X21:AG21)</f>
        <v>11435765.5517016</v>
      </c>
      <c r="AI21" s="17" t="n">
        <f aca="false">W21-AH21</f>
        <v>1929241.81500885</v>
      </c>
      <c r="AJ21" s="17" t="n">
        <f aca="false">AJ20+AI21</f>
        <v>-13307188.9858835</v>
      </c>
      <c r="AK21" s="17" t="n">
        <f aca="false">O21*Допущения!$E$58*Допущения!$E$59</f>
        <v>250666.570101137</v>
      </c>
      <c r="AL21" s="17" t="n">
        <f aca="false">T21*Допущения!$E$72</f>
        <v>554752.329670718</v>
      </c>
      <c r="AM21" s="17" t="n">
        <f aca="false">IF(MOD(A21,12)=0,INDEX($F$70:$F$74,B21),0)</f>
        <v>0</v>
      </c>
      <c r="AN21" s="17" t="n">
        <f aca="false">AI21-AM21</f>
        <v>1929241.81500885</v>
      </c>
      <c r="AO21" s="26" t="n">
        <f aca="false">1/(1+Допущения!$E$74)^A21</f>
        <v>0.767102784340253</v>
      </c>
      <c r="AP21" s="21" t="n">
        <f aca="false">IF(AND(A21&gt;Допущения!$E$19,MIN(AI21:AI$65)&gt;0),A21,"")</f>
        <v>16</v>
      </c>
      <c r="AQ21" s="21" t="str">
        <f aca="false">IF(MIN(AJ21:AJ$65)&gt;0,A21,"")</f>
        <v/>
      </c>
    </row>
    <row r="22" customFormat="false" ht="15" hidden="false" customHeight="false" outlineLevel="0" collapsed="false">
      <c r="A22" s="28" t="n">
        <v>17</v>
      </c>
      <c r="B22" s="28" t="n">
        <f aca="false">INT((A22-1)/12)+1</f>
        <v>2</v>
      </c>
      <c r="C22" s="12" t="s">
        <v>462</v>
      </c>
      <c r="D22" s="15" t="n">
        <f aca="false">(1+Допущения!$E$11)^(B22-1)</f>
        <v>1.08</v>
      </c>
      <c r="E22" s="15" t="n">
        <f aca="false">(1+Допущения!$E$12)^(B22-1)</f>
        <v>1.07</v>
      </c>
      <c r="F22" s="17" t="n">
        <f aca="false">Допущения!$E$71*E22</f>
        <v>3300.3936</v>
      </c>
      <c r="G22" s="17" t="n">
        <f aca="false">MIN(G21*(1+Допущения!$E$33),Допущения!$E$34)</f>
        <v>1087849.4904658</v>
      </c>
      <c r="H22" s="25" t="n">
        <f aca="false">MIN(Допущения!$E$30,G22/Допущения!$E$29)</f>
        <v>400</v>
      </c>
      <c r="I22" s="25" t="n">
        <f aca="false">MAX(0,G22-H22*Допущения!$E$29)/Допущения!$E$31</f>
        <v>108.410997881289</v>
      </c>
      <c r="J22" s="25" t="n">
        <f aca="false">IF(A22&gt;=Допущения!$E$35,Допущения!$E$36,0)</f>
        <v>60</v>
      </c>
      <c r="K22" s="25" t="n">
        <f aca="false">H22+I22+J22</f>
        <v>568.410997881289</v>
      </c>
      <c r="L22" s="25" t="n">
        <f aca="false">(L21-K21)*(1-Допущения!$E$44)+K21*(1-Допущения!$E$43)+K22</f>
        <v>4378.21002949681</v>
      </c>
      <c r="M22" s="25" t="n">
        <f aca="false">IF(A22&gt;=Допущения!$E$38,Допущения!$E$73/Допущения!$E$42*MIN(Допущения!$E$42,A22-Допущения!$E$38+1),0)</f>
        <v>120</v>
      </c>
      <c r="N22" s="25" t="n">
        <f aca="false">N21*(1-Допущения!$E$45)+M22</f>
        <v>1096.89616046501</v>
      </c>
      <c r="O22" s="25" t="n">
        <f aca="false">L22+N22</f>
        <v>5475.10618996182</v>
      </c>
      <c r="P22" s="25" t="n">
        <f aca="false">L22*Допущения!$E$25</f>
        <v>1313.46300884904</v>
      </c>
      <c r="Q22" s="25" t="n">
        <f aca="false">L22*(1-Допущения!$E$25)+N22</f>
        <v>4161.64318111278</v>
      </c>
      <c r="R22" s="17" t="n">
        <f aca="false">MAX(Допущения!$E$18,ROUNDUP(Q22/Допущения!$E$68+P22/Допущения!$E$69,0))</f>
        <v>50</v>
      </c>
      <c r="S22" s="17" t="n">
        <f aca="false">ROUNDUP(R22/Допущения!$E$48,0)</f>
        <v>5</v>
      </c>
      <c r="T22" s="17" t="n">
        <f aca="false">L22*F22/(1+Допущения!$E$6)</f>
        <v>11844111.7711533</v>
      </c>
      <c r="U22" s="17" t="n">
        <f aca="false">N22*Допущения!$E$28*E22/(1+Допущения!$E$6)</f>
        <v>1914443.43809685</v>
      </c>
      <c r="V22" s="17" t="n">
        <f aca="false">O22*Допущения!$E$26*Допущения!$E$27/(1+Допущения!$E$6)</f>
        <v>673168.793847765</v>
      </c>
      <c r="W22" s="17" t="n">
        <f aca="false">T22+U22+V22</f>
        <v>14431724.003098</v>
      </c>
      <c r="X22" s="17" t="n">
        <f aca="false">J22*Допущения!$E$37</f>
        <v>30000</v>
      </c>
      <c r="Y22" s="17" t="n">
        <f aca="false">(R22*Допущения!$E$47+S22*Допущения!$E$49)*D22*Допущения!$E$9</f>
        <v>5343408</v>
      </c>
      <c r="Z22" s="17" t="n">
        <f aca="false">(MAX(0,R22-R21)+R22*Допущения!$E$50/12)*Допущения!$E$51*D22</f>
        <v>396900</v>
      </c>
      <c r="AA22" s="17" t="n">
        <f aca="false">O22*(Допущения!$E$53+Допущения!$E$54)+(L22*F22+N22*Допущения!$E$28*E22)*Допущения!$E$13</f>
        <v>2300551.6317312</v>
      </c>
      <c r="AB22" s="17" t="n">
        <f aca="false">(R22+S22)*Допущения!$E$52</f>
        <v>148500</v>
      </c>
      <c r="AC22" s="17" t="n">
        <f aca="false">SUMPRODUCT(Допущения!$B$84:$B$91,Допущения!$C$84:$C$91,--(Допущения!$D$84:$D$91&lt;=A22))*D22*Допущения!$E$9</f>
        <v>2123301.6</v>
      </c>
      <c r="AD22" s="17" t="n">
        <f aca="false">(AC22+Y22)*Допущения!$E$14</f>
        <v>746670.96</v>
      </c>
      <c r="AE22" s="17" t="n">
        <f aca="false">Допущения!$E$55+Допущения!$E$56*O22/1000+Допущения!$E$57</f>
        <v>183800.849519695</v>
      </c>
      <c r="AF22" s="17" t="n">
        <f aca="false">SUMIF(Допущения!$B$95:$B$103,A22,Допущения!$C$95:$C$103)</f>
        <v>0</v>
      </c>
      <c r="AG22" s="17" t="n">
        <v>0</v>
      </c>
      <c r="AH22" s="17" t="n">
        <f aca="false">G22+SUM(X22:AG22)</f>
        <v>12360982.5317167</v>
      </c>
      <c r="AI22" s="17" t="n">
        <f aca="false">W22-AH22</f>
        <v>2070741.47138126</v>
      </c>
      <c r="AJ22" s="17" t="n">
        <f aca="false">AJ21+AI22</f>
        <v>-11236447.5145022</v>
      </c>
      <c r="AK22" s="17" t="n">
        <f aca="false">O22*Допущения!$E$58*Допущения!$E$59</f>
        <v>271017.75640311</v>
      </c>
      <c r="AL22" s="17" t="n">
        <f aca="false">T22*Допущения!$E$72</f>
        <v>597182.106108572</v>
      </c>
      <c r="AM22" s="17" t="n">
        <f aca="false">IF(MOD(A22,12)=0,INDEX($F$70:$F$74,B22),0)</f>
        <v>0</v>
      </c>
      <c r="AN22" s="17" t="n">
        <f aca="false">AI22-AM22</f>
        <v>2070741.47138126</v>
      </c>
      <c r="AO22" s="26" t="n">
        <f aca="false">1/(1+Допущения!$E$74)^A22</f>
        <v>0.754495938953851</v>
      </c>
      <c r="AP22" s="21" t="n">
        <f aca="false">IF(AND(A22&gt;Допущения!$E$19,MIN(AI22:AI$65)&gt;0),A22,"")</f>
        <v>17</v>
      </c>
      <c r="AQ22" s="21" t="str">
        <f aca="false">IF(MIN(AJ22:AJ$65)&gt;0,A22,"")</f>
        <v/>
      </c>
    </row>
    <row r="23" customFormat="false" ht="15" hidden="false" customHeight="false" outlineLevel="0" collapsed="false">
      <c r="A23" s="28" t="n">
        <v>18</v>
      </c>
      <c r="B23" s="28" t="n">
        <f aca="false">INT((A23-1)/12)+1</f>
        <v>2</v>
      </c>
      <c r="C23" s="12" t="s">
        <v>462</v>
      </c>
      <c r="D23" s="15" t="n">
        <f aca="false">(1+Допущения!$E$11)^(B23-1)</f>
        <v>1.08</v>
      </c>
      <c r="E23" s="15" t="n">
        <f aca="false">(1+Допущения!$E$12)^(B23-1)</f>
        <v>1.07</v>
      </c>
      <c r="F23" s="17" t="n">
        <f aca="false">Допущения!$E$71*E23</f>
        <v>3300.3936</v>
      </c>
      <c r="G23" s="17" t="n">
        <f aca="false">MIN(G22*(1+Допущения!$E$33),Допущения!$E$34)</f>
        <v>1174877.44970306</v>
      </c>
      <c r="H23" s="25" t="n">
        <f aca="false">MIN(Допущения!$E$30,G23/Допущения!$E$29)</f>
        <v>400</v>
      </c>
      <c r="I23" s="25" t="n">
        <f aca="false">MAX(0,G23-H23*Допущения!$E$29)/Допущения!$E$31</f>
        <v>127.750544378459</v>
      </c>
      <c r="J23" s="25" t="n">
        <f aca="false">IF(A23&gt;=Допущения!$E$35,Допущения!$E$36,0)</f>
        <v>60</v>
      </c>
      <c r="K23" s="25" t="n">
        <f aca="false">H23+I23+J23</f>
        <v>587.750544378459</v>
      </c>
      <c r="L23" s="25" t="n">
        <f aca="false">(L22-K22)*(1-Допущения!$E$44)+K22*(1-Допущения!$E$43)+K23</f>
        <v>4692.20563783394</v>
      </c>
      <c r="M23" s="25" t="n">
        <f aca="false">IF(A23&gt;=Допущения!$E$38,Допущения!$E$73/Допущения!$E$42*MIN(Допущения!$E$42,A23-Допущения!$E$38+1),0)</f>
        <v>120</v>
      </c>
      <c r="N23" s="25" t="n">
        <f aca="false">N22*(1-Допущения!$E$45)+M23</f>
        <v>1194.95823725571</v>
      </c>
      <c r="O23" s="25" t="n">
        <f aca="false">L23+N23</f>
        <v>5887.16387508965</v>
      </c>
      <c r="P23" s="25" t="n">
        <f aca="false">L23*Допущения!$E$25</f>
        <v>1407.66169135018</v>
      </c>
      <c r="Q23" s="25" t="n">
        <f aca="false">L23*(1-Допущения!$E$25)+N23</f>
        <v>4479.50218373947</v>
      </c>
      <c r="R23" s="17" t="n">
        <f aca="false">MAX(Допущения!$E$18,ROUNDUP(Q23/Допущения!$E$68+P23/Допущения!$E$69,0))</f>
        <v>53</v>
      </c>
      <c r="S23" s="17" t="n">
        <f aca="false">ROUNDUP(R23/Допущения!$E$48,0)</f>
        <v>5</v>
      </c>
      <c r="T23" s="17" t="n">
        <f aca="false">L23*F23/(1+Допущения!$E$6)</f>
        <v>12693545.45655</v>
      </c>
      <c r="U23" s="17" t="n">
        <f aca="false">N23*Допущения!$E$28*E23/(1+Допущения!$E$6)</f>
        <v>2085593.91359721</v>
      </c>
      <c r="V23" s="17" t="n">
        <f aca="false">O23*Допущения!$E$26*Допущения!$E$27/(1+Допущения!$E$6)</f>
        <v>723831.623986432</v>
      </c>
      <c r="W23" s="17" t="n">
        <f aca="false">T23+U23+V23</f>
        <v>15502970.9941337</v>
      </c>
      <c r="X23" s="17" t="n">
        <f aca="false">J23*Допущения!$E$37</f>
        <v>30000</v>
      </c>
      <c r="Y23" s="17" t="n">
        <f aca="false">(R23*Допущения!$E$47+S23*Допущения!$E$49)*D23*Допущения!$E$9</f>
        <v>5617609.2</v>
      </c>
      <c r="Z23" s="17" t="n">
        <f aca="false">(MAX(0,R23-R22)+R23*Допущения!$E$50/12)*Допущения!$E$51*D23</f>
        <v>326970</v>
      </c>
      <c r="AA23" s="17" t="n">
        <f aca="false">O23*(Допущения!$E$53+Допущения!$E$54)+(L23*F23+N23*Допущения!$E$28*E23)*Допущения!$E$13</f>
        <v>2473364.71497616</v>
      </c>
      <c r="AB23" s="17" t="n">
        <f aca="false">(R23+S23)*Допущения!$E$52</f>
        <v>156600</v>
      </c>
      <c r="AC23" s="17" t="n">
        <f aca="false">SUMPRODUCT(Допущения!$B$84:$B$91,Допущения!$C$84:$C$91,--(Допущения!$D$84:$D$91&lt;=A23))*D23*Допущения!$E$9</f>
        <v>2123301.6</v>
      </c>
      <c r="AD23" s="17" t="n">
        <f aca="false">(AC23+Y23)*Допущения!$E$14</f>
        <v>774091.08</v>
      </c>
      <c r="AE23" s="17" t="n">
        <f aca="false">Допущения!$E$55+Допущения!$E$56*O23/1000+Допущения!$E$57</f>
        <v>187097.311000717</v>
      </c>
      <c r="AF23" s="17" t="n">
        <f aca="false">SUMIF(Допущения!$B$95:$B$103,A23,Допущения!$C$95:$C$103)</f>
        <v>0</v>
      </c>
      <c r="AG23" s="17" t="n">
        <v>0</v>
      </c>
      <c r="AH23" s="17" t="n">
        <f aca="false">G23+SUM(X23:AG23)</f>
        <v>12863911.3556799</v>
      </c>
      <c r="AI23" s="17" t="n">
        <f aca="false">W23-AH23</f>
        <v>2639059.63845373</v>
      </c>
      <c r="AJ23" s="17" t="n">
        <f aca="false">AJ22+AI23</f>
        <v>-8597387.87604846</v>
      </c>
      <c r="AK23" s="17" t="n">
        <f aca="false">O23*Допущения!$E$58*Допущения!$E$59</f>
        <v>291414.611816938</v>
      </c>
      <c r="AL23" s="17" t="n">
        <f aca="false">T23*Допущения!$E$72</f>
        <v>640010.695288237</v>
      </c>
      <c r="AM23" s="17" t="n">
        <f aca="false">IF(MOD(A23,12)=0,INDEX($F$70:$F$74,B23),0)</f>
        <v>0</v>
      </c>
      <c r="AN23" s="17" t="n">
        <f aca="false">AI23-AM23</f>
        <v>2639059.63845373</v>
      </c>
      <c r="AO23" s="26" t="n">
        <f aca="false">1/(1+Допущения!$E$74)^A23</f>
        <v>0.742096279037039</v>
      </c>
      <c r="AP23" s="21" t="n">
        <f aca="false">IF(AND(A23&gt;Допущения!$E$19,MIN(AI23:AI$65)&gt;0),A23,"")</f>
        <v>18</v>
      </c>
      <c r="AQ23" s="21" t="str">
        <f aca="false">IF(MIN(AJ23:AJ$65)&gt;0,A23,"")</f>
        <v/>
      </c>
    </row>
    <row r="24" customFormat="false" ht="15" hidden="false" customHeight="false" outlineLevel="0" collapsed="false">
      <c r="A24" s="28" t="n">
        <v>19</v>
      </c>
      <c r="B24" s="28" t="n">
        <f aca="false">INT((A24-1)/12)+1</f>
        <v>2</v>
      </c>
      <c r="C24" s="12" t="s">
        <v>462</v>
      </c>
      <c r="D24" s="15" t="n">
        <f aca="false">(1+Допущения!$E$11)^(B24-1)</f>
        <v>1.08</v>
      </c>
      <c r="E24" s="15" t="n">
        <f aca="false">(1+Допущения!$E$12)^(B24-1)</f>
        <v>1.07</v>
      </c>
      <c r="F24" s="17" t="n">
        <f aca="false">Допущения!$E$71*E24</f>
        <v>3300.3936</v>
      </c>
      <c r="G24" s="17" t="n">
        <f aca="false">MIN(G23*(1+Допущения!$E$33),Допущения!$E$34)</f>
        <v>1268867.64567931</v>
      </c>
      <c r="H24" s="25" t="n">
        <f aca="false">MIN(Допущения!$E$30,G24/Допущения!$E$29)</f>
        <v>400</v>
      </c>
      <c r="I24" s="25" t="n">
        <f aca="false">MAX(0,G24-H24*Допущения!$E$29)/Допущения!$E$31</f>
        <v>148.637254595402</v>
      </c>
      <c r="J24" s="25" t="n">
        <f aca="false">IF(A24&gt;=Допущения!$E$35,Допущения!$E$36,0)</f>
        <v>60</v>
      </c>
      <c r="K24" s="25" t="n">
        <f aca="false">H24+I24+J24</f>
        <v>608.637254595402</v>
      </c>
      <c r="L24" s="25" t="n">
        <f aca="false">(L23-K23)*(1-Допущения!$E$44)+K23*(1-Допущения!$E$43)+K24</f>
        <v>5010.34731523572</v>
      </c>
      <c r="M24" s="25" t="n">
        <f aca="false">IF(A24&gt;=Допущения!$E$38,Допущения!$E$73/Допущения!$E$42*MIN(Допущения!$E$42,A24-Допущения!$E$38+1),0)</f>
        <v>120</v>
      </c>
      <c r="N24" s="25" t="n">
        <f aca="false">N23*(1-Допущения!$E$45)+M24</f>
        <v>1291.0590725106</v>
      </c>
      <c r="O24" s="25" t="n">
        <f aca="false">L24+N24</f>
        <v>6301.40638774632</v>
      </c>
      <c r="P24" s="25" t="n">
        <f aca="false">L24*Допущения!$E$25</f>
        <v>1503.10419457072</v>
      </c>
      <c r="Q24" s="25" t="n">
        <f aca="false">L24*(1-Допущения!$E$25)+N24</f>
        <v>4798.3021931756</v>
      </c>
      <c r="R24" s="17" t="n">
        <f aca="false">MAX(Допущения!$E$18,ROUNDUP(Q24/Допущения!$E$68+P24/Допущения!$E$69,0))</f>
        <v>57</v>
      </c>
      <c r="S24" s="17" t="n">
        <f aca="false">ROUNDUP(R24/Допущения!$E$48,0)</f>
        <v>5</v>
      </c>
      <c r="T24" s="17" t="n">
        <f aca="false">L24*F24/(1+Допущения!$E$6)</f>
        <v>13554195.2565419</v>
      </c>
      <c r="U24" s="17" t="n">
        <f aca="false">N24*Допущения!$E$28*E24/(1+Допущения!$E$6)</f>
        <v>2253321.37958756</v>
      </c>
      <c r="V24" s="17" t="n">
        <f aca="false">O24*Допущения!$E$26*Допущения!$E$27/(1+Допущения!$E$6)</f>
        <v>774763.080460613</v>
      </c>
      <c r="W24" s="17" t="n">
        <f aca="false">T24+U24+V24</f>
        <v>16582279.7165901</v>
      </c>
      <c r="X24" s="17" t="n">
        <f aca="false">J24*Допущения!$E$37</f>
        <v>30000</v>
      </c>
      <c r="Y24" s="17" t="n">
        <f aca="false">(R24*Допущения!$E$47+S24*Допущения!$E$49)*D24*Допущения!$E$9</f>
        <v>5983210.8</v>
      </c>
      <c r="Z24" s="17" t="n">
        <f aca="false">(MAX(0,R24-R23)+R24*Допущения!$E$50/12)*Допущения!$E$51*D24</f>
        <v>410130</v>
      </c>
      <c r="AA24" s="17" t="n">
        <f aca="false">O24*(Допущения!$E$53+Допущения!$E$54)+(L24*F24+N24*Допущения!$E$28*E24)*Допущения!$E$13</f>
        <v>2647146.39685681</v>
      </c>
      <c r="AB24" s="17" t="n">
        <f aca="false">(R24+S24)*Допущения!$E$52</f>
        <v>167400</v>
      </c>
      <c r="AC24" s="17" t="n">
        <f aca="false">SUMPRODUCT(Допущения!$B$84:$B$91,Допущения!$C$84:$C$91,--(Допущения!$D$84:$D$91&lt;=A24))*D24*Допущения!$E$9</f>
        <v>2123301.6</v>
      </c>
      <c r="AD24" s="17" t="n">
        <f aca="false">(AC24+Y24)*Допущения!$E$14</f>
        <v>810651.24</v>
      </c>
      <c r="AE24" s="17" t="n">
        <f aca="false">Допущения!$E$55+Допущения!$E$56*O24/1000+Допущения!$E$57</f>
        <v>190411.251101971</v>
      </c>
      <c r="AF24" s="17" t="n">
        <f aca="false">SUMIF(Допущения!$B$95:$B$103,A24,Допущения!$C$95:$C$103)</f>
        <v>0</v>
      </c>
      <c r="AG24" s="17" t="n">
        <v>0</v>
      </c>
      <c r="AH24" s="17" t="n">
        <f aca="false">G24+SUM(X24:AG24)</f>
        <v>13631118.9336381</v>
      </c>
      <c r="AI24" s="17" t="n">
        <f aca="false">W24-AH24</f>
        <v>2951160.78295201</v>
      </c>
      <c r="AJ24" s="17" t="n">
        <f aca="false">AJ23+AI24</f>
        <v>-5646227.09309645</v>
      </c>
      <c r="AK24" s="17" t="n">
        <f aca="false">O24*Допущения!$E$58*Допущения!$E$59</f>
        <v>311919.616193443</v>
      </c>
      <c r="AL24" s="17" t="n">
        <f aca="false">T24*Допущения!$E$72</f>
        <v>683404.802850853</v>
      </c>
      <c r="AM24" s="17" t="n">
        <f aca="false">IF(MOD(A24,12)=0,INDEX($F$70:$F$74,B24),0)</f>
        <v>0</v>
      </c>
      <c r="AN24" s="17" t="n">
        <f aca="false">AI24-AM24</f>
        <v>2951160.78295201</v>
      </c>
      <c r="AO24" s="26" t="n">
        <f aca="false">1/(1+Допущения!$E$74)^A24</f>
        <v>0.729900399628662</v>
      </c>
      <c r="AP24" s="21" t="n">
        <f aca="false">IF(AND(A24&gt;Допущения!$E$19,MIN(AI24:AI$65)&gt;0),A24,"")</f>
        <v>19</v>
      </c>
      <c r="AQ24" s="21" t="str">
        <f aca="false">IF(MIN(AJ24:AJ$65)&gt;0,A24,"")</f>
        <v/>
      </c>
    </row>
    <row r="25" customFormat="false" ht="15" hidden="false" customHeight="false" outlineLevel="0" collapsed="false">
      <c r="A25" s="28" t="n">
        <v>20</v>
      </c>
      <c r="B25" s="28" t="n">
        <f aca="false">INT((A25-1)/12)+1</f>
        <v>2</v>
      </c>
      <c r="C25" s="12" t="s">
        <v>462</v>
      </c>
      <c r="D25" s="15" t="n">
        <f aca="false">(1+Допущения!$E$11)^(B25-1)</f>
        <v>1.08</v>
      </c>
      <c r="E25" s="15" t="n">
        <f aca="false">(1+Допущения!$E$12)^(B25-1)</f>
        <v>1.07</v>
      </c>
      <c r="F25" s="17" t="n">
        <f aca="false">Допущения!$E$71*E25</f>
        <v>3300.3936</v>
      </c>
      <c r="G25" s="17" t="n">
        <f aca="false">MIN(G24*(1+Допущения!$E$33),Допущения!$E$34)</f>
        <v>1370377.05733365</v>
      </c>
      <c r="H25" s="25" t="n">
        <f aca="false">MIN(Допущения!$E$30,G25/Допущения!$E$29)</f>
        <v>400</v>
      </c>
      <c r="I25" s="25" t="n">
        <f aca="false">MAX(0,G25-H25*Допущения!$E$29)/Допущения!$E$31</f>
        <v>171.194901629701</v>
      </c>
      <c r="J25" s="25" t="n">
        <f aca="false">IF(A25&gt;=Допущения!$E$35,Допущения!$E$36,0)</f>
        <v>60</v>
      </c>
      <c r="K25" s="25" t="n">
        <f aca="false">H25+I25+J25</f>
        <v>631.194901629701</v>
      </c>
      <c r="L25" s="25" t="n">
        <f aca="false">(L24-K24)*(1-Допущения!$E$44)+K24*(1-Допущения!$E$43)+K25</f>
        <v>5333.91055830943</v>
      </c>
      <c r="M25" s="25" t="n">
        <f aca="false">IF(A25&gt;=Допущения!$E$38,Допущения!$E$73/Допущения!$E$42*MIN(Допущения!$E$42,A25-Допущения!$E$38+1),0)</f>
        <v>120</v>
      </c>
      <c r="N25" s="25" t="n">
        <f aca="false">N24*(1-Допущения!$E$45)+M25</f>
        <v>1385.23789106039</v>
      </c>
      <c r="O25" s="25" t="n">
        <f aca="false">L25+N25</f>
        <v>6719.14844936982</v>
      </c>
      <c r="P25" s="25" t="n">
        <f aca="false">L25*Допущения!$E$25</f>
        <v>1600.17316749283</v>
      </c>
      <c r="Q25" s="25" t="n">
        <f aca="false">L25*(1-Допущения!$E$25)+N25</f>
        <v>5118.97528187699</v>
      </c>
      <c r="R25" s="17" t="n">
        <f aca="false">MAX(Допущения!$E$18,ROUNDUP(Q25/Допущения!$E$68+P25/Допущения!$E$69,0))</f>
        <v>61</v>
      </c>
      <c r="S25" s="17" t="n">
        <f aca="false">ROUNDUP(R25/Допущения!$E$48,0)</f>
        <v>6</v>
      </c>
      <c r="T25" s="17" t="n">
        <f aca="false">L25*F25/(1+Допущения!$E$6)</f>
        <v>14429511.6964073</v>
      </c>
      <c r="U25" s="17" t="n">
        <f aca="false">N25*Допущения!$E$28*E25/(1+Допущения!$E$6)</f>
        <v>2417694.2962581</v>
      </c>
      <c r="V25" s="17" t="n">
        <f aca="false">O25*Допущения!$E$26*Допущения!$E$27/(1+Допущения!$E$6)</f>
        <v>826124.809348748</v>
      </c>
      <c r="W25" s="17" t="n">
        <f aca="false">T25+U25+V25</f>
        <v>17673330.8020141</v>
      </c>
      <c r="X25" s="17" t="n">
        <f aca="false">J25*Допущения!$E$37</f>
        <v>30000</v>
      </c>
      <c r="Y25" s="17" t="n">
        <f aca="false">(R25*Допущения!$E$47+S25*Допущения!$E$49)*D25*Допущения!$E$9</f>
        <v>6503490</v>
      </c>
      <c r="Z25" s="17" t="n">
        <f aca="false">(MAX(0,R25-R24)+R25*Допущения!$E$50/12)*Допущения!$E$51*D25</f>
        <v>417690</v>
      </c>
      <c r="AA25" s="17" t="n">
        <f aca="false">O25*(Допущения!$E$53+Допущения!$E$54)+(L25*F25+N25*Допущения!$E$28*E25)*Допущения!$E$13</f>
        <v>2822453.82761892</v>
      </c>
      <c r="AB25" s="17" t="n">
        <f aca="false">(R25+S25)*Допущения!$E$52</f>
        <v>180900</v>
      </c>
      <c r="AC25" s="17" t="n">
        <f aca="false">SUMPRODUCT(Допущения!$B$84:$B$91,Допущения!$C$84:$C$91,--(Допущения!$D$84:$D$91&lt;=A25))*D25*Допущения!$E$9</f>
        <v>2123301.6</v>
      </c>
      <c r="AD25" s="17" t="n">
        <f aca="false">(AC25+Y25)*Допущения!$E$14</f>
        <v>862679.16</v>
      </c>
      <c r="AE25" s="17" t="n">
        <f aca="false">Допущения!$E$55+Допущения!$E$56*O25/1000+Допущения!$E$57</f>
        <v>193753.187594959</v>
      </c>
      <c r="AF25" s="17" t="n">
        <f aca="false">SUMIF(Допущения!$B$95:$B$103,A25,Допущения!$C$95:$C$103)</f>
        <v>0</v>
      </c>
      <c r="AG25" s="17" t="n">
        <v>0</v>
      </c>
      <c r="AH25" s="17" t="n">
        <f aca="false">G25+SUM(X25:AG25)</f>
        <v>14504644.8325475</v>
      </c>
      <c r="AI25" s="17" t="n">
        <f aca="false">W25-AH25</f>
        <v>3168685.9694666</v>
      </c>
      <c r="AJ25" s="17" t="n">
        <f aca="false">AJ24+AI25</f>
        <v>-2477541.12362986</v>
      </c>
      <c r="AK25" s="17" t="n">
        <f aca="false">O25*Допущения!$E$58*Допущения!$E$59</f>
        <v>332597.848243806</v>
      </c>
      <c r="AL25" s="17" t="n">
        <f aca="false">T25*Допущения!$E$72</f>
        <v>727538.404860871</v>
      </c>
      <c r="AM25" s="17" t="n">
        <f aca="false">IF(MOD(A25,12)=0,INDEX($F$70:$F$74,B25),0)</f>
        <v>0</v>
      </c>
      <c r="AN25" s="17" t="n">
        <f aca="false">AI25-AM25</f>
        <v>3168685.9694666</v>
      </c>
      <c r="AO25" s="26" t="n">
        <f aca="false">1/(1+Допущения!$E$74)^A25</f>
        <v>0.717904951725933</v>
      </c>
      <c r="AP25" s="21" t="n">
        <f aca="false">IF(AND(A25&gt;Допущения!$E$19,MIN(AI25:AI$65)&gt;0),A25,"")</f>
        <v>20</v>
      </c>
      <c r="AQ25" s="21" t="str">
        <f aca="false">IF(MIN(AJ25:AJ$65)&gt;0,A25,"")</f>
        <v/>
      </c>
    </row>
    <row r="26" customFormat="false" ht="15" hidden="false" customHeight="false" outlineLevel="0" collapsed="false">
      <c r="A26" s="28" t="n">
        <v>21</v>
      </c>
      <c r="B26" s="28" t="n">
        <f aca="false">INT((A26-1)/12)+1</f>
        <v>2</v>
      </c>
      <c r="C26" s="12" t="s">
        <v>462</v>
      </c>
      <c r="D26" s="15" t="n">
        <f aca="false">(1+Допущения!$E$11)^(B26-1)</f>
        <v>1.08</v>
      </c>
      <c r="E26" s="15" t="n">
        <f aca="false">(1+Допущения!$E$12)^(B26-1)</f>
        <v>1.07</v>
      </c>
      <c r="F26" s="17" t="n">
        <f aca="false">Допущения!$E$71*E26</f>
        <v>3300.3936</v>
      </c>
      <c r="G26" s="17" t="n">
        <f aca="false">MIN(G25*(1+Допущения!$E$33),Допущения!$E$34)</f>
        <v>1480007.22192035</v>
      </c>
      <c r="H26" s="25" t="n">
        <f aca="false">MIN(Допущения!$E$30,G26/Допущения!$E$29)</f>
        <v>400</v>
      </c>
      <c r="I26" s="25" t="n">
        <f aca="false">MAX(0,G26-H26*Допущения!$E$29)/Допущения!$E$31</f>
        <v>195.557160426743</v>
      </c>
      <c r="J26" s="25" t="n">
        <f aca="false">IF(A26&gt;=Допущения!$E$35,Допущения!$E$36,0)</f>
        <v>60</v>
      </c>
      <c r="K26" s="25" t="n">
        <f aca="false">H26+I26+J26</f>
        <v>655.557160426744</v>
      </c>
      <c r="L26" s="25" t="n">
        <f aca="false">(L25-K25)*(1-Допущения!$E$44)+K25*(1-Допущения!$E$43)+K26</f>
        <v>5664.23043189224</v>
      </c>
      <c r="M26" s="25" t="n">
        <f aca="false">IF(A26&gt;=Допущения!$E$38,Допущения!$E$73/Допущения!$E$42*MIN(Допущения!$E$42,A26-Допущения!$E$38+1),0)</f>
        <v>120</v>
      </c>
      <c r="N26" s="25" t="n">
        <f aca="false">N25*(1-Допущения!$E$45)+M26</f>
        <v>1477.53313323918</v>
      </c>
      <c r="O26" s="25" t="n">
        <f aca="false">L26+N26</f>
        <v>7141.76356513142</v>
      </c>
      <c r="P26" s="25" t="n">
        <f aca="false">L26*Допущения!$E$25</f>
        <v>1699.26912956767</v>
      </c>
      <c r="Q26" s="25" t="n">
        <f aca="false">L26*(1-Допущения!$E$25)+N26</f>
        <v>5442.49443556375</v>
      </c>
      <c r="R26" s="17" t="n">
        <f aca="false">MAX(Допущения!$E$18,ROUNDUP(Q26/Допущения!$E$68+P26/Допущения!$E$69,0))</f>
        <v>65</v>
      </c>
      <c r="S26" s="17" t="n">
        <f aca="false">ROUNDUP(R26/Допущения!$E$48,0)</f>
        <v>6</v>
      </c>
      <c r="T26" s="17" t="n">
        <f aca="false">L26*F26/(1+Допущения!$E$6)</f>
        <v>15323106.4478216</v>
      </c>
      <c r="U26" s="17" t="n">
        <f aca="false">N26*Допущения!$E$28*E26/(1+Допущения!$E$6)</f>
        <v>2578779.75459523</v>
      </c>
      <c r="V26" s="17" t="n">
        <f aca="false">O26*Допущения!$E$26*Допущения!$E$27/(1+Допущения!$E$6)</f>
        <v>878085.68423747</v>
      </c>
      <c r="W26" s="17" t="n">
        <f aca="false">T26+U26+V26</f>
        <v>18779971.8866543</v>
      </c>
      <c r="X26" s="17" t="n">
        <f aca="false">J26*Допущения!$E$37</f>
        <v>30000</v>
      </c>
      <c r="Y26" s="17" t="n">
        <f aca="false">(R26*Допущения!$E$47+S26*Допущения!$E$49)*D26*Допущения!$E$9</f>
        <v>6869091.6</v>
      </c>
      <c r="Z26" s="17" t="n">
        <f aca="false">(MAX(0,R26-R25)+R26*Допущения!$E$50/12)*Допущения!$E$51*D26</f>
        <v>425250</v>
      </c>
      <c r="AA26" s="17" t="n">
        <f aca="false">O26*(Допущения!$E$53+Допущения!$E$54)+(L26*F26+N26*Допущения!$E$28*E26)*Допущения!$E$13</f>
        <v>2999869.12227804</v>
      </c>
      <c r="AB26" s="17" t="n">
        <f aca="false">(R26+S26)*Допущения!$E$52</f>
        <v>191700</v>
      </c>
      <c r="AC26" s="17" t="n">
        <f aca="false">SUMPRODUCT(Допущения!$B$84:$B$91,Допущения!$C$84:$C$91,--(Допущения!$D$84:$D$91&lt;=A26))*D26*Допущения!$E$9</f>
        <v>2123301.6</v>
      </c>
      <c r="AD26" s="17" t="n">
        <f aca="false">(AC26+Y26)*Допущения!$E$14</f>
        <v>899239.32</v>
      </c>
      <c r="AE26" s="17" t="n">
        <f aca="false">Допущения!$E$55+Допущения!$E$56*O26/1000+Допущения!$E$57</f>
        <v>197134.108521051</v>
      </c>
      <c r="AF26" s="17" t="n">
        <f aca="false">SUMIF(Допущения!$B$95:$B$103,A26,Допущения!$C$95:$C$103)</f>
        <v>0</v>
      </c>
      <c r="AG26" s="17" t="n">
        <v>0</v>
      </c>
      <c r="AH26" s="17" t="n">
        <f aca="false">G26+SUM(X26:AG26)</f>
        <v>15215592.9727194</v>
      </c>
      <c r="AI26" s="17" t="n">
        <f aca="false">W26-AH26</f>
        <v>3564378.91393489</v>
      </c>
      <c r="AJ26" s="17" t="n">
        <f aca="false">AJ25+AI26</f>
        <v>1086837.79030503</v>
      </c>
      <c r="AK26" s="17" t="n">
        <f aca="false">O26*Допущения!$E$58*Допущения!$E$59</f>
        <v>353517.296474005</v>
      </c>
      <c r="AL26" s="17" t="n">
        <f aca="false">T26*Допущения!$E$72</f>
        <v>772593.602411175</v>
      </c>
      <c r="AM26" s="17" t="n">
        <f aca="false">IF(MOD(A26,12)=0,INDEX($F$70:$F$74,B26),0)</f>
        <v>0</v>
      </c>
      <c r="AN26" s="17" t="n">
        <f aca="false">AI26-AM26</f>
        <v>3564378.91393489</v>
      </c>
      <c r="AO26" s="26" t="n">
        <f aca="false">1/(1+Допущения!$E$74)^A26</f>
        <v>0.706106641364793</v>
      </c>
      <c r="AP26" s="21" t="n">
        <f aca="false">IF(AND(A26&gt;Допущения!$E$19,MIN(AI26:AI$65)&gt;0),A26,"")</f>
        <v>21</v>
      </c>
      <c r="AQ26" s="21" t="n">
        <f aca="false">IF(MIN(AJ26:AJ$65)&gt;0,A26,"")</f>
        <v>21</v>
      </c>
    </row>
    <row r="27" customFormat="false" ht="15" hidden="false" customHeight="false" outlineLevel="0" collapsed="false">
      <c r="A27" s="28" t="n">
        <v>22</v>
      </c>
      <c r="B27" s="28" t="n">
        <f aca="false">INT((A27-1)/12)+1</f>
        <v>2</v>
      </c>
      <c r="C27" s="12" t="s">
        <v>462</v>
      </c>
      <c r="D27" s="15" t="n">
        <f aca="false">(1+Допущения!$E$11)^(B27-1)</f>
        <v>1.08</v>
      </c>
      <c r="E27" s="15" t="n">
        <f aca="false">(1+Допущения!$E$12)^(B27-1)</f>
        <v>1.07</v>
      </c>
      <c r="F27" s="17" t="n">
        <f aca="false">Допущения!$E$71*E27</f>
        <v>3300.3936</v>
      </c>
      <c r="G27" s="17" t="n">
        <f aca="false">MIN(G26*(1+Допущения!$E$33),Допущения!$E$34)</f>
        <v>1598407.79967397</v>
      </c>
      <c r="H27" s="25" t="n">
        <f aca="false">MIN(Допущения!$E$30,G27/Допущения!$E$29)</f>
        <v>400</v>
      </c>
      <c r="I27" s="25" t="n">
        <f aca="false">MAX(0,G27-H27*Допущения!$E$29)/Допущения!$E$31</f>
        <v>221.86839992755</v>
      </c>
      <c r="J27" s="25" t="n">
        <f aca="false">IF(A27&gt;=Допущения!$E$35,Допущения!$E$36,0)</f>
        <v>60</v>
      </c>
      <c r="K27" s="25" t="n">
        <f aca="false">H27+I27+J27</f>
        <v>681.86839992755</v>
      </c>
      <c r="L27" s="25" t="n">
        <f aca="false">(L26-K26)*(1-Допущения!$E$44)+K26*(1-Допущения!$E$43)+K27</f>
        <v>6002.70824572703</v>
      </c>
      <c r="M27" s="25" t="n">
        <f aca="false">IF(A27&gt;=Допущения!$E$38,Допущения!$E$73/Допущения!$E$42*MIN(Допущения!$E$42,A27-Допущения!$E$38+1),0)</f>
        <v>120</v>
      </c>
      <c r="N27" s="25" t="n">
        <f aca="false">N26*(1-Допущения!$E$45)+M27</f>
        <v>1567.9824705744</v>
      </c>
      <c r="O27" s="25" t="n">
        <f aca="false">L27+N27</f>
        <v>7570.69071630143</v>
      </c>
      <c r="P27" s="25" t="n">
        <f aca="false">L27*Допущения!$E$25</f>
        <v>1800.81247371811</v>
      </c>
      <c r="Q27" s="25" t="n">
        <f aca="false">L27*(1-Допущения!$E$25)+N27</f>
        <v>5769.87824258332</v>
      </c>
      <c r="R27" s="17" t="n">
        <f aca="false">MAX(Допущения!$E$18,ROUNDUP(Q27/Допущения!$E$68+P27/Допущения!$E$69,0))</f>
        <v>69</v>
      </c>
      <c r="S27" s="17" t="n">
        <f aca="false">ROUNDUP(R27/Допущения!$E$48,0)</f>
        <v>6</v>
      </c>
      <c r="T27" s="17" t="n">
        <f aca="false">L27*F27/(1+Допущения!$E$6)</f>
        <v>16238770.3908727</v>
      </c>
      <c r="U27" s="17" t="n">
        <f aca="false">N27*Допущения!$E$28*E27/(1+Допущения!$E$6)</f>
        <v>2736643.50376563</v>
      </c>
      <c r="V27" s="17" t="n">
        <f aca="false">O27*Допущения!$E$26*Допущения!$E$27/(1+Допущения!$E$6)</f>
        <v>930822.629053454</v>
      </c>
      <c r="W27" s="17" t="n">
        <f aca="false">T27+U27+V27</f>
        <v>19906236.5236918</v>
      </c>
      <c r="X27" s="17" t="n">
        <f aca="false">J27*Допущения!$E$37</f>
        <v>30000</v>
      </c>
      <c r="Y27" s="17" t="n">
        <f aca="false">(R27*Допущения!$E$47+S27*Допущения!$E$49)*D27*Допущения!$E$9</f>
        <v>7234693.2</v>
      </c>
      <c r="Z27" s="17" t="n">
        <f aca="false">(MAX(0,R27-R26)+R27*Допущения!$E$50/12)*Допущения!$E$51*D27</f>
        <v>432810</v>
      </c>
      <c r="AA27" s="17" t="n">
        <f aca="false">O27*(Допущения!$E$53+Допущения!$E$54)+(L27*F27+N27*Допущения!$E$28*E27)*Допущения!$E$13</f>
        <v>3180002.20057628</v>
      </c>
      <c r="AB27" s="17" t="n">
        <f aca="false">(R27+S27)*Допущения!$E$52</f>
        <v>202500</v>
      </c>
      <c r="AC27" s="17" t="n">
        <f aca="false">SUMPRODUCT(Допущения!$B$84:$B$91,Допущения!$C$84:$C$91,--(Допущения!$D$84:$D$91&lt;=A27))*D27*Допущения!$E$9</f>
        <v>2123301.6</v>
      </c>
      <c r="AD27" s="17" t="n">
        <f aca="false">(AC27+Y27)*Допущения!$E$14</f>
        <v>935799.48</v>
      </c>
      <c r="AE27" s="17" t="n">
        <f aca="false">Допущения!$E$55+Допущения!$E$56*O27/1000+Допущения!$E$57</f>
        <v>200565.525730411</v>
      </c>
      <c r="AF27" s="17" t="n">
        <f aca="false">SUMIF(Допущения!$B$95:$B$103,A27,Допущения!$C$95:$C$103)</f>
        <v>0</v>
      </c>
      <c r="AG27" s="17" t="n">
        <v>0</v>
      </c>
      <c r="AH27" s="17" t="n">
        <f aca="false">G27+SUM(X27:AG27)</f>
        <v>15938079.8059807</v>
      </c>
      <c r="AI27" s="17" t="n">
        <f aca="false">W27-AH27</f>
        <v>3968156.71771114</v>
      </c>
      <c r="AJ27" s="17" t="n">
        <f aca="false">AJ26+AI27</f>
        <v>5054994.50801617</v>
      </c>
      <c r="AK27" s="17" t="n">
        <f aca="false">O27*Допущения!$E$58*Допущения!$E$59</f>
        <v>374749.190456921</v>
      </c>
      <c r="AL27" s="17" t="n">
        <f aca="false">T27*Допущения!$E$72</f>
        <v>818761.53231291</v>
      </c>
      <c r="AM27" s="17" t="n">
        <f aca="false">IF(MOD(A27,12)=0,INDEX($F$70:$F$74,B27),0)</f>
        <v>0</v>
      </c>
      <c r="AN27" s="17" t="n">
        <f aca="false">AI27-AM27</f>
        <v>3968156.71771114</v>
      </c>
      <c r="AO27" s="26" t="n">
        <f aca="false">1/(1+Допущения!$E$74)^A27</f>
        <v>0.694502228715381</v>
      </c>
      <c r="AP27" s="21" t="n">
        <f aca="false">IF(AND(A27&gt;Допущения!$E$19,MIN(AI27:AI$65)&gt;0),A27,"")</f>
        <v>22</v>
      </c>
      <c r="AQ27" s="21" t="n">
        <f aca="false">IF(MIN(AJ27:AJ$65)&gt;0,A27,"")</f>
        <v>22</v>
      </c>
    </row>
    <row r="28" customFormat="false" ht="15" hidden="false" customHeight="false" outlineLevel="0" collapsed="false">
      <c r="A28" s="28" t="n">
        <v>23</v>
      </c>
      <c r="B28" s="28" t="n">
        <f aca="false">INT((A28-1)/12)+1</f>
        <v>2</v>
      </c>
      <c r="C28" s="12" t="s">
        <v>462</v>
      </c>
      <c r="D28" s="15" t="n">
        <f aca="false">(1+Допущения!$E$11)^(B28-1)</f>
        <v>1.08</v>
      </c>
      <c r="E28" s="15" t="n">
        <f aca="false">(1+Допущения!$E$12)^(B28-1)</f>
        <v>1.07</v>
      </c>
      <c r="F28" s="17" t="n">
        <f aca="false">Допущения!$E$71*E28</f>
        <v>3300.3936</v>
      </c>
      <c r="G28" s="17" t="n">
        <f aca="false">MIN(G27*(1+Допущения!$E$33),Допущения!$E$34)</f>
        <v>1726280.42364789</v>
      </c>
      <c r="H28" s="25" t="n">
        <f aca="false">MIN(Допущения!$E$30,G28/Допущения!$E$29)</f>
        <v>400</v>
      </c>
      <c r="I28" s="25" t="n">
        <f aca="false">MAX(0,G28-H28*Допущения!$E$29)/Допущения!$E$31</f>
        <v>250.28453858842</v>
      </c>
      <c r="J28" s="25" t="n">
        <f aca="false">IF(A28&gt;=Допущения!$E$35,Допущения!$E$36,0)</f>
        <v>60</v>
      </c>
      <c r="K28" s="25" t="n">
        <f aca="false">H28+I28+J28</f>
        <v>710.28453858842</v>
      </c>
      <c r="L28" s="25" t="n">
        <f aca="false">(L27-K27)*(1-Допущения!$E$44)+K27*(1-Допущения!$E$43)+K28</f>
        <v>6350.81867926751</v>
      </c>
      <c r="M28" s="25" t="n">
        <f aca="false">IF(A28&gt;=Допущения!$E$38,Допущения!$E$73/Допущения!$E$42*MIN(Допущения!$E$42,A28-Допущения!$E$38+1),0)</f>
        <v>120</v>
      </c>
      <c r="N28" s="25" t="n">
        <f aca="false">N27*(1-Допущения!$E$45)+M28</f>
        <v>1656.62282116291</v>
      </c>
      <c r="O28" s="25" t="n">
        <f aca="false">L28+N28</f>
        <v>8007.44150043042</v>
      </c>
      <c r="P28" s="25" t="n">
        <f aca="false">L28*Допущения!$E$25</f>
        <v>1905.24560378025</v>
      </c>
      <c r="Q28" s="25" t="n">
        <f aca="false">L28*(1-Допущения!$E$25)+N28</f>
        <v>6102.19589665017</v>
      </c>
      <c r="R28" s="17" t="n">
        <f aca="false">MAX(Допущения!$E$18,ROUNDUP(Q28/Допущения!$E$68+P28/Допущения!$E$69,0))</f>
        <v>72</v>
      </c>
      <c r="S28" s="17" t="n">
        <f aca="false">ROUNDUP(R28/Допущения!$E$48,0)</f>
        <v>6</v>
      </c>
      <c r="T28" s="17" t="n">
        <f aca="false">L28*F28/(1+Допущения!$E$6)</f>
        <v>17180492.8883729</v>
      </c>
      <c r="U28" s="17" t="n">
        <f aca="false">N28*Допущения!$E$28*E28/(1+Допущения!$E$6)</f>
        <v>2891349.97795261</v>
      </c>
      <c r="V28" s="17" t="n">
        <f aca="false">O28*Допущения!$E$26*Допущения!$E$27/(1+Допущения!$E$6)</f>
        <v>984521.49595456</v>
      </c>
      <c r="W28" s="17" t="n">
        <f aca="false">T28+U28+V28</f>
        <v>21056364.3622801</v>
      </c>
      <c r="X28" s="17" t="n">
        <f aca="false">J28*Допущения!$E$37</f>
        <v>30000</v>
      </c>
      <c r="Y28" s="17" t="n">
        <f aca="false">(R28*Допущения!$E$47+S28*Допущения!$E$49)*D28*Допущения!$E$9</f>
        <v>7508894.4</v>
      </c>
      <c r="Z28" s="17" t="n">
        <f aca="false">(MAX(0,R28-R27)+R28*Допущения!$E$50/12)*Допущения!$E$51*D28</f>
        <v>362880</v>
      </c>
      <c r="AA28" s="17" t="n">
        <f aca="false">O28*(Допущения!$E$53+Допущения!$E$54)+(L28*F28+N28*Допущения!$E$28*E28)*Допущения!$E$13</f>
        <v>3363493.81700161</v>
      </c>
      <c r="AB28" s="17" t="n">
        <f aca="false">(R28+S28)*Допущения!$E$52</f>
        <v>210600</v>
      </c>
      <c r="AC28" s="17" t="n">
        <f aca="false">SUMPRODUCT(Допущения!$B$84:$B$91,Допущения!$C$84:$C$91,--(Допущения!$D$84:$D$91&lt;=A28))*D28*Допущения!$E$9</f>
        <v>2123301.6</v>
      </c>
      <c r="AD28" s="17" t="n">
        <f aca="false">(AC28+Y28)*Допущения!$E$14</f>
        <v>963219.6</v>
      </c>
      <c r="AE28" s="17" t="n">
        <f aca="false">Допущения!$E$55+Допущения!$E$56*O28/1000+Допущения!$E$57</f>
        <v>204059.532003443</v>
      </c>
      <c r="AF28" s="17" t="n">
        <f aca="false">SUMIF(Допущения!$B$95:$B$103,A28,Допущения!$C$95:$C$103)</f>
        <v>0</v>
      </c>
      <c r="AG28" s="17" t="n">
        <v>0</v>
      </c>
      <c r="AH28" s="17" t="n">
        <f aca="false">G28+SUM(X28:AG28)</f>
        <v>16492729.3726529</v>
      </c>
      <c r="AI28" s="17" t="n">
        <f aca="false">W28-AH28</f>
        <v>4563634.98962713</v>
      </c>
      <c r="AJ28" s="17" t="n">
        <f aca="false">AJ27+AI28</f>
        <v>9618629.4976433</v>
      </c>
      <c r="AK28" s="17" t="n">
        <f aca="false">O28*Допущения!$E$58*Допущения!$E$59</f>
        <v>396368.354271306</v>
      </c>
      <c r="AL28" s="17" t="n">
        <f aca="false">T28*Допущения!$E$72</f>
        <v>866243.338909559</v>
      </c>
      <c r="AM28" s="17" t="n">
        <f aca="false">IF(MOD(A28,12)=0,INDEX($F$70:$F$74,B28),0)</f>
        <v>0</v>
      </c>
      <c r="AN28" s="17" t="n">
        <f aca="false">AI28-AM28</f>
        <v>4563634.98962713</v>
      </c>
      <c r="AO28" s="26" t="n">
        <f aca="false">1/(1+Допущения!$E$74)^A28</f>
        <v>0.683088527192375</v>
      </c>
      <c r="AP28" s="21" t="n">
        <f aca="false">IF(AND(A28&gt;Допущения!$E$19,MIN(AI28:AI$65)&gt;0),A28,"")</f>
        <v>23</v>
      </c>
      <c r="AQ28" s="21" t="n">
        <f aca="false">IF(MIN(AJ28:AJ$65)&gt;0,A28,"")</f>
        <v>23</v>
      </c>
    </row>
    <row r="29" customFormat="false" ht="15" hidden="false" customHeight="false" outlineLevel="0" collapsed="false">
      <c r="A29" s="28" t="n">
        <v>24</v>
      </c>
      <c r="B29" s="28" t="n">
        <f aca="false">INT((A29-1)/12)+1</f>
        <v>2</v>
      </c>
      <c r="C29" s="12" t="s">
        <v>462</v>
      </c>
      <c r="D29" s="15" t="n">
        <f aca="false">(1+Допущения!$E$11)^(B29-1)</f>
        <v>1.08</v>
      </c>
      <c r="E29" s="15" t="n">
        <f aca="false">(1+Допущения!$E$12)^(B29-1)</f>
        <v>1.07</v>
      </c>
      <c r="F29" s="17" t="n">
        <f aca="false">Допущения!$E$71*E29</f>
        <v>3300.3936</v>
      </c>
      <c r="G29" s="17" t="n">
        <f aca="false">MIN(G28*(1+Допущения!$E$33),Допущения!$E$34)</f>
        <v>1864382.85753972</v>
      </c>
      <c r="H29" s="25" t="n">
        <f aca="false">MIN(Допущения!$E$30,G29/Допущения!$E$29)</f>
        <v>400</v>
      </c>
      <c r="I29" s="25" t="n">
        <f aca="false">MAX(0,G29-H29*Допущения!$E$29)/Допущения!$E$31</f>
        <v>280.973968342161</v>
      </c>
      <c r="J29" s="25" t="n">
        <f aca="false">IF(A29&gt;=Допущения!$E$35,Допущения!$E$36,0)</f>
        <v>60</v>
      </c>
      <c r="K29" s="25" t="n">
        <f aca="false">H29+I29+J29</f>
        <v>740.973968342161</v>
      </c>
      <c r="L29" s="25" t="n">
        <f aca="false">(L28-K28)*(1-Допущения!$E$44)+K28*(1-Допущения!$E$43)+K29</f>
        <v>6710.1173943332</v>
      </c>
      <c r="M29" s="25" t="n">
        <f aca="false">IF(A29&gt;=Допущения!$E$38,Допущения!$E$73/Допущения!$E$42*MIN(Допущения!$E$42,A29-Допущения!$E$38+1),0)</f>
        <v>120</v>
      </c>
      <c r="N29" s="25" t="n">
        <f aca="false">N28*(1-Допущения!$E$45)+M29</f>
        <v>1743.49036473965</v>
      </c>
      <c r="O29" s="25" t="n">
        <f aca="false">L29+N29</f>
        <v>8453.60775907285</v>
      </c>
      <c r="P29" s="25" t="n">
        <f aca="false">L29*Допущения!$E$25</f>
        <v>2013.03521829996</v>
      </c>
      <c r="Q29" s="25" t="n">
        <f aca="false">L29*(1-Допущения!$E$25)+N29</f>
        <v>6440.57254077289</v>
      </c>
      <c r="R29" s="17" t="n">
        <f aca="false">MAX(Допущения!$E$18,ROUNDUP(Q29/Допущения!$E$68+P29/Допущения!$E$69,0))</f>
        <v>77</v>
      </c>
      <c r="S29" s="17" t="n">
        <f aca="false">ROUNDUP(R29/Допущения!$E$48,0)</f>
        <v>7</v>
      </c>
      <c r="T29" s="17" t="n">
        <f aca="false">L29*F29/(1+Допущения!$E$6)</f>
        <v>18152482.3799229</v>
      </c>
      <c r="U29" s="17" t="n">
        <f aca="false">N29*Допущения!$E$28*E29/(1+Допущения!$E$6)</f>
        <v>3042962.32265585</v>
      </c>
      <c r="V29" s="17" t="n">
        <f aca="false">O29*Допущения!$E$26*Допущения!$E$27/(1+Допущения!$E$6)</f>
        <v>1039378.00316469</v>
      </c>
      <c r="W29" s="17" t="n">
        <f aca="false">T29+U29+V29</f>
        <v>22234822.7057435</v>
      </c>
      <c r="X29" s="17" t="n">
        <f aca="false">J29*Допущения!$E$37</f>
        <v>30000</v>
      </c>
      <c r="Y29" s="17" t="n">
        <f aca="false">(R29*Допущения!$E$47+S29*Допущения!$E$49)*D29*Допущения!$E$9</f>
        <v>8120574</v>
      </c>
      <c r="Z29" s="17" t="n">
        <f aca="false">(MAX(0,R29-R28)+R29*Допущения!$E$50/12)*Допущения!$E$51*D29</f>
        <v>523530</v>
      </c>
      <c r="AA29" s="17" t="n">
        <f aca="false">O29*(Допущения!$E$53+Допущения!$E$54)+(L29*F29+N29*Допущения!$E$28*E29)*Допущения!$E$13</f>
        <v>3551018.79773022</v>
      </c>
      <c r="AB29" s="17" t="n">
        <f aca="false">(R29+S29)*Допущения!$E$52</f>
        <v>226800</v>
      </c>
      <c r="AC29" s="17" t="n">
        <f aca="false">SUMPRODUCT(Допущения!$B$84:$B$91,Допущения!$C$84:$C$91,--(Допущения!$D$84:$D$91&lt;=A29))*D29*Допущения!$E$9</f>
        <v>2123301.6</v>
      </c>
      <c r="AD29" s="17" t="n">
        <f aca="false">(AC29+Y29)*Допущения!$E$14</f>
        <v>1024387.56</v>
      </c>
      <c r="AE29" s="17" t="n">
        <f aca="false">Допущения!$E$55+Допущения!$E$56*O29/1000+Допущения!$E$57</f>
        <v>207628.862072583</v>
      </c>
      <c r="AF29" s="17" t="n">
        <f aca="false">SUMIF(Допущения!$B$95:$B$103,A29,Допущения!$C$95:$C$103)</f>
        <v>0</v>
      </c>
      <c r="AG29" s="17" t="n">
        <v>0</v>
      </c>
      <c r="AH29" s="17" t="n">
        <f aca="false">G29+SUM(X29:AG29)</f>
        <v>17671623.6773425</v>
      </c>
      <c r="AI29" s="17" t="n">
        <f aca="false">W29-AH29</f>
        <v>4563199.02840094</v>
      </c>
      <c r="AJ29" s="17" t="n">
        <f aca="false">AJ28+AI29</f>
        <v>14181828.5260442</v>
      </c>
      <c r="AK29" s="17" t="n">
        <f aca="false">O29*Допущения!$E$58*Допущения!$E$59</f>
        <v>418453.584074106</v>
      </c>
      <c r="AL29" s="17" t="n">
        <f aca="false">T29*Допущения!$E$72</f>
        <v>915251.212433089</v>
      </c>
      <c r="AM29" s="17" t="n">
        <f aca="false">IF(MOD(A29,12)=0,INDEX($F$70:$F$74,B29),0)</f>
        <v>4054727.58411082</v>
      </c>
      <c r="AN29" s="17" t="n">
        <f aca="false">AI29-AM29</f>
        <v>508471.444290121</v>
      </c>
      <c r="AO29" s="26" t="n">
        <f aca="false">1/(1+Допущения!$E$74)^A29</f>
        <v>0.671862402579953</v>
      </c>
      <c r="AP29" s="21" t="n">
        <f aca="false">IF(AND(A29&gt;Допущения!$E$19,MIN(AI29:AI$65)&gt;0),A29,"")</f>
        <v>24</v>
      </c>
      <c r="AQ29" s="21" t="n">
        <f aca="false">IF(MIN(AJ29:AJ$65)&gt;0,A29,"")</f>
        <v>24</v>
      </c>
    </row>
    <row r="30" customFormat="false" ht="15" hidden="false" customHeight="false" outlineLevel="0" collapsed="false">
      <c r="A30" s="28" t="n">
        <v>25</v>
      </c>
      <c r="B30" s="28" t="n">
        <f aca="false">INT((A30-1)/12)+1</f>
        <v>3</v>
      </c>
      <c r="C30" s="12" t="s">
        <v>462</v>
      </c>
      <c r="D30" s="15" t="n">
        <f aca="false">(1+Допущения!$E$11)^(B30-1)</f>
        <v>1.1664</v>
      </c>
      <c r="E30" s="15" t="n">
        <f aca="false">(1+Допущения!$E$12)^(B30-1)</f>
        <v>1.1449</v>
      </c>
      <c r="F30" s="17" t="n">
        <f aca="false">Допущения!$E$71*E30</f>
        <v>3531.421152</v>
      </c>
      <c r="G30" s="17" t="n">
        <f aca="false">MIN(G29*(1+Допущения!$E$33),Допущения!$E$34)</f>
        <v>2013533.4861429</v>
      </c>
      <c r="H30" s="25" t="n">
        <f aca="false">MIN(Допущения!$E$30,G30/Допущения!$E$29)</f>
        <v>400</v>
      </c>
      <c r="I30" s="25" t="n">
        <f aca="false">MAX(0,G30-H30*Допущения!$E$29)/Допущения!$E$31</f>
        <v>314.1185524762</v>
      </c>
      <c r="J30" s="25" t="n">
        <f aca="false">IF(A30&gt;=Допущения!$E$35,Допущения!$E$36,0)</f>
        <v>60</v>
      </c>
      <c r="K30" s="25" t="n">
        <f aca="false">H30+I30+J30</f>
        <v>774.1185524762</v>
      </c>
      <c r="L30" s="25" t="n">
        <f aca="false">(L29-K29)*(1-Допущения!$E$44)+K29*(1-Допущения!$E$43)+K30</f>
        <v>7082.24917833821</v>
      </c>
      <c r="M30" s="25" t="n">
        <f aca="false">IF(A30&gt;=Допущения!$E$38,Допущения!$E$73/Допущения!$E$42*MIN(Допущения!$E$42,A30-Допущения!$E$38+1),0)</f>
        <v>120</v>
      </c>
      <c r="N30" s="25" t="n">
        <f aca="false">N29*(1-Допущения!$E$45)+M30</f>
        <v>1828.62055744486</v>
      </c>
      <c r="O30" s="25" t="n">
        <f aca="false">L30+N30</f>
        <v>8910.86973578307</v>
      </c>
      <c r="P30" s="25" t="n">
        <f aca="false">L30*Допущения!$E$25</f>
        <v>2124.67475350146</v>
      </c>
      <c r="Q30" s="25" t="n">
        <f aca="false">L30*(1-Допущения!$E$25)+N30</f>
        <v>6786.19498228161</v>
      </c>
      <c r="R30" s="17" t="n">
        <f aca="false">MAX(Допущения!$E$18,ROUNDUP(Q30/Допущения!$E$68+P30/Допущения!$E$69,0))</f>
        <v>81</v>
      </c>
      <c r="S30" s="17" t="n">
        <f aca="false">ROUNDUP(R30/Допущения!$E$48,0)</f>
        <v>7</v>
      </c>
      <c r="T30" s="17" t="n">
        <f aca="false">L30*F30/(1+Допущения!$E$6)</f>
        <v>20500331.6000969</v>
      </c>
      <c r="U30" s="17" t="n">
        <f aca="false">N30*Допущения!$E$28*E30/(1+Допущения!$E$6)</f>
        <v>3414950.38989758</v>
      </c>
      <c r="V30" s="17" t="n">
        <f aca="false">O30*Допущения!$E$26*Допущения!$E$27/(1+Допущения!$E$6)</f>
        <v>1095598.73800612</v>
      </c>
      <c r="W30" s="17" t="n">
        <f aca="false">T30+U30+V30</f>
        <v>25010880.7280006</v>
      </c>
      <c r="X30" s="17" t="n">
        <f aca="false">J30*Допущения!$E$37</f>
        <v>30000</v>
      </c>
      <c r="Y30" s="17" t="n">
        <f aca="false">(R30*Допущения!$E$47+S30*Допущения!$E$49)*D30*Допущения!$E$9</f>
        <v>9165069.648</v>
      </c>
      <c r="Z30" s="17" t="n">
        <f aca="false">(MAX(0,R30-R29)+R30*Допущения!$E$50/12)*Допущения!$E$51*D30</f>
        <v>491929.2</v>
      </c>
      <c r="AA30" s="17" t="n">
        <f aca="false">O30*(Допущения!$E$53+Допущения!$E$54)+(L30*F30+N30*Допущения!$E$28*E30)*Допущения!$E$13</f>
        <v>3777647.0460611</v>
      </c>
      <c r="AB30" s="17" t="n">
        <f aca="false">(R30+S30)*Допущения!$E$52</f>
        <v>237600</v>
      </c>
      <c r="AC30" s="17" t="n">
        <f aca="false">SUMPRODUCT(Допущения!$B$84:$B$91,Допущения!$C$84:$C$91,--(Допущения!$D$84:$D$91&lt;=A30))*D30*Допущения!$E$9</f>
        <v>2293165.728</v>
      </c>
      <c r="AD30" s="17" t="n">
        <f aca="false">(AC30+Y30)*Допущения!$E$14</f>
        <v>1145823.5376</v>
      </c>
      <c r="AE30" s="17" t="n">
        <f aca="false">Допущения!$E$55+Допущения!$E$56*O30/1000+Допущения!$E$57</f>
        <v>211286.957886265</v>
      </c>
      <c r="AF30" s="17" t="n">
        <f aca="false">SUMIF(Допущения!$B$95:$B$103,A30,Допущения!$C$95:$C$103)</f>
        <v>0</v>
      </c>
      <c r="AG30" s="17" t="n">
        <v>0</v>
      </c>
      <c r="AH30" s="17" t="n">
        <f aca="false">G30+SUM(X30:AG30)</f>
        <v>19366055.6036903</v>
      </c>
      <c r="AI30" s="17" t="n">
        <f aca="false">W30-AH30</f>
        <v>5644825.1243103</v>
      </c>
      <c r="AJ30" s="17" t="n">
        <f aca="false">AJ29+AI30</f>
        <v>19826653.6503545</v>
      </c>
      <c r="AK30" s="17" t="n">
        <f aca="false">O30*Допущения!$E$58*Допущения!$E$59</f>
        <v>441088.051921262</v>
      </c>
      <c r="AL30" s="17" t="n">
        <f aca="false">T30*Допущения!$E$72</f>
        <v>1033630.16471077</v>
      </c>
      <c r="AM30" s="17" t="n">
        <f aca="false">IF(MOD(A30,12)=0,INDEX($F$70:$F$74,B30),0)</f>
        <v>0</v>
      </c>
      <c r="AN30" s="17" t="n">
        <f aca="false">AI30-AM30</f>
        <v>5644825.1243103</v>
      </c>
      <c r="AO30" s="26" t="n">
        <f aca="false">1/(1+Допущения!$E$74)^A30</f>
        <v>0.660820772171133</v>
      </c>
      <c r="AP30" s="21" t="n">
        <f aca="false">IF(AND(A30&gt;Допущения!$E$19,MIN(AI30:AI$65)&gt;0),A30,"")</f>
        <v>25</v>
      </c>
      <c r="AQ30" s="21" t="n">
        <f aca="false">IF(MIN(AJ30:AJ$65)&gt;0,A30,"")</f>
        <v>25</v>
      </c>
    </row>
    <row r="31" customFormat="false" ht="15" hidden="false" customHeight="false" outlineLevel="0" collapsed="false">
      <c r="A31" s="28" t="n">
        <v>26</v>
      </c>
      <c r="B31" s="28" t="n">
        <f aca="false">INT((A31-1)/12)+1</f>
        <v>3</v>
      </c>
      <c r="C31" s="12" t="s">
        <v>462</v>
      </c>
      <c r="D31" s="15" t="n">
        <f aca="false">(1+Допущения!$E$11)^(B31-1)</f>
        <v>1.1664</v>
      </c>
      <c r="E31" s="15" t="n">
        <f aca="false">(1+Допущения!$E$12)^(B31-1)</f>
        <v>1.1449</v>
      </c>
      <c r="F31" s="17" t="n">
        <f aca="false">Допущения!$E$71*E31</f>
        <v>3531.421152</v>
      </c>
      <c r="G31" s="17" t="n">
        <f aca="false">MIN(G30*(1+Допущения!$E$33),Допущения!$E$34)</f>
        <v>2174616.16503433</v>
      </c>
      <c r="H31" s="25" t="n">
        <f aca="false">MIN(Допущения!$E$30,G31/Допущения!$E$29)</f>
        <v>400</v>
      </c>
      <c r="I31" s="25" t="n">
        <f aca="false">MAX(0,G31-H31*Допущения!$E$29)/Допущения!$E$31</f>
        <v>349.914703340963</v>
      </c>
      <c r="J31" s="25" t="n">
        <f aca="false">IF(A31&gt;=Допущения!$E$35,Допущения!$E$36,0)</f>
        <v>60</v>
      </c>
      <c r="K31" s="25" t="n">
        <f aca="false">H31+I31+J31</f>
        <v>809.914703340963</v>
      </c>
      <c r="L31" s="25" t="n">
        <f aca="false">(L30-K30)*(1-Допущения!$E$44)+K30*(1-Допущения!$E$43)+K31</f>
        <v>7468.95666406967</v>
      </c>
      <c r="M31" s="25" t="n">
        <f aca="false">IF(A31&gt;=Допущения!$E$38,Допущения!$E$73/Допущения!$E$42*MIN(Допущения!$E$42,A31-Допущения!$E$38+1),0)</f>
        <v>120</v>
      </c>
      <c r="N31" s="25" t="n">
        <f aca="false">N30*(1-Допущения!$E$45)+M31</f>
        <v>1912.04814629596</v>
      </c>
      <c r="O31" s="25" t="n">
        <f aca="false">L31+N31</f>
        <v>9381.00481036563</v>
      </c>
      <c r="P31" s="25" t="n">
        <f aca="false">L31*Допущения!$E$25</f>
        <v>2240.6869992209</v>
      </c>
      <c r="Q31" s="25" t="n">
        <f aca="false">L31*(1-Допущения!$E$25)+N31</f>
        <v>7140.31781114473</v>
      </c>
      <c r="R31" s="17" t="n">
        <f aca="false">MAX(Допущения!$E$18,ROUNDUP(Q31/Допущения!$E$68+P31/Допущения!$E$69,0))</f>
        <v>85</v>
      </c>
      <c r="S31" s="17" t="n">
        <f aca="false">ROUNDUP(R31/Допущения!$E$48,0)</f>
        <v>8</v>
      </c>
      <c r="T31" s="17" t="n">
        <f aca="false">L31*F31/(1+Допущения!$E$6)</f>
        <v>21619697.9892352</v>
      </c>
      <c r="U31" s="17" t="n">
        <f aca="false">N31*Допущения!$E$28*E31/(1+Допущения!$E$6)</f>
        <v>3570751.48046028</v>
      </c>
      <c r="V31" s="17" t="n">
        <f aca="false">O31*Допущения!$E$26*Допущения!$E$27/(1+Допущения!$E$6)</f>
        <v>1153402.23078266</v>
      </c>
      <c r="W31" s="17" t="n">
        <f aca="false">T31+U31+V31</f>
        <v>26343851.7004782</v>
      </c>
      <c r="X31" s="17" t="n">
        <f aca="false">J31*Допущения!$E$37</f>
        <v>30000</v>
      </c>
      <c r="Y31" s="17" t="n">
        <f aca="false">(R31*Допущения!$E$47+S31*Допущения!$E$49)*D31*Допущения!$E$9</f>
        <v>9726971.184</v>
      </c>
      <c r="Z31" s="17" t="n">
        <f aca="false">(MAX(0,R31-R30)+R31*Допущения!$E$50/12)*Допущения!$E$51*D31</f>
        <v>500094</v>
      </c>
      <c r="AA31" s="17" t="n">
        <f aca="false">O31*(Допущения!$E$53+Допущения!$E$54)+(L31*F31+N31*Допущения!$E$28*E31)*Допущения!$E$13</f>
        <v>3977249.02613797</v>
      </c>
      <c r="AB31" s="17" t="n">
        <f aca="false">(R31+S31)*Допущения!$E$52</f>
        <v>251100</v>
      </c>
      <c r="AC31" s="17" t="n">
        <f aca="false">SUMPRODUCT(Допущения!$B$84:$B$91,Допущения!$C$84:$C$91,--(Допущения!$D$84:$D$91&lt;=A31))*D31*Допущения!$E$9</f>
        <v>2293165.728</v>
      </c>
      <c r="AD31" s="17" t="n">
        <f aca="false">(AC31+Y31)*Допущения!$E$14</f>
        <v>1202013.6912</v>
      </c>
      <c r="AE31" s="17" t="n">
        <f aca="false">Допущения!$E$55+Допущения!$E$56*O31/1000+Допущения!$E$57</f>
        <v>215048.038482925</v>
      </c>
      <c r="AF31" s="17" t="n">
        <f aca="false">SUMIF(Допущения!$B$95:$B$103,A31,Допущения!$C$95:$C$103)</f>
        <v>0</v>
      </c>
      <c r="AG31" s="17" t="n">
        <v>0</v>
      </c>
      <c r="AH31" s="17" t="n">
        <f aca="false">G31+SUM(X31:AG31)</f>
        <v>20370257.8328552</v>
      </c>
      <c r="AI31" s="17" t="n">
        <f aca="false">W31-AH31</f>
        <v>5973593.86762295</v>
      </c>
      <c r="AJ31" s="17" t="n">
        <f aca="false">AJ30+AI31</f>
        <v>25800247.5179775</v>
      </c>
      <c r="AK31" s="17" t="n">
        <f aca="false">O31*Допущения!$E$58*Допущения!$E$59</f>
        <v>464359.738113099</v>
      </c>
      <c r="AL31" s="17" t="n">
        <f aca="false">T31*Допущения!$E$72</f>
        <v>1090068.80617993</v>
      </c>
      <c r="AM31" s="17" t="n">
        <f aca="false">IF(MOD(A31,12)=0,INDEX($F$70:$F$74,B31),0)</f>
        <v>0</v>
      </c>
      <c r="AN31" s="17" t="n">
        <f aca="false">AI31-AM31</f>
        <v>5973593.86762295</v>
      </c>
      <c r="AO31" s="26" t="n">
        <f aca="false">1/(1+Допущения!$E$74)^A31</f>
        <v>0.649960603921256</v>
      </c>
      <c r="AP31" s="21" t="n">
        <f aca="false">IF(AND(A31&gt;Допущения!$E$19,MIN(AI31:AI$65)&gt;0),A31,"")</f>
        <v>26</v>
      </c>
      <c r="AQ31" s="21" t="n">
        <f aca="false">IF(MIN(AJ31:AJ$65)&gt;0,A31,"")</f>
        <v>26</v>
      </c>
    </row>
    <row r="32" customFormat="false" ht="15" hidden="false" customHeight="false" outlineLevel="0" collapsed="false">
      <c r="A32" s="28" t="n">
        <v>27</v>
      </c>
      <c r="B32" s="28" t="n">
        <f aca="false">INT((A32-1)/12)+1</f>
        <v>3</v>
      </c>
      <c r="C32" s="12" t="s">
        <v>462</v>
      </c>
      <c r="D32" s="15" t="n">
        <f aca="false">(1+Допущения!$E$11)^(B32-1)</f>
        <v>1.1664</v>
      </c>
      <c r="E32" s="15" t="n">
        <f aca="false">(1+Допущения!$E$12)^(B32-1)</f>
        <v>1.1449</v>
      </c>
      <c r="F32" s="17" t="n">
        <f aca="false">Допущения!$E$71*E32</f>
        <v>3531.421152</v>
      </c>
      <c r="G32" s="17" t="n">
        <f aca="false">MIN(G31*(1+Допущения!$E$33),Допущения!$E$34)</f>
        <v>2348585.45823708</v>
      </c>
      <c r="H32" s="25" t="n">
        <f aca="false">MIN(Допущения!$E$30,G32/Допущения!$E$29)</f>
        <v>400</v>
      </c>
      <c r="I32" s="25" t="n">
        <f aca="false">MAX(0,G32-H32*Допущения!$E$29)/Допущения!$E$31</f>
        <v>388.574546274907</v>
      </c>
      <c r="J32" s="25" t="n">
        <f aca="false">IF(A32&gt;=Допущения!$E$35,Допущения!$E$36,0)</f>
        <v>60</v>
      </c>
      <c r="K32" s="25" t="n">
        <f aca="false">H32+I32+J32</f>
        <v>848.574546274907</v>
      </c>
      <c r="L32" s="25" t="n">
        <f aca="false">(L31-K31)*(1-Допущения!$E$44)+K31*(1-Допущения!$E$43)+K32</f>
        <v>7872.08967551041</v>
      </c>
      <c r="M32" s="25" t="n">
        <f aca="false">IF(A32&gt;=Допущения!$E$38,Допущения!$E$73/Допущения!$E$42*MIN(Допущения!$E$42,A32-Допущения!$E$38+1),0)</f>
        <v>120</v>
      </c>
      <c r="N32" s="25" t="n">
        <f aca="false">N31*(1-Допущения!$E$45)+M32</f>
        <v>1993.80718337004</v>
      </c>
      <c r="O32" s="25" t="n">
        <f aca="false">L32+N32</f>
        <v>9865.89685888045</v>
      </c>
      <c r="P32" s="25" t="n">
        <f aca="false">L32*Допущения!$E$25</f>
        <v>2361.62690265312</v>
      </c>
      <c r="Q32" s="25" t="n">
        <f aca="false">L32*(1-Допущения!$E$25)+N32</f>
        <v>7504.26995622733</v>
      </c>
      <c r="R32" s="17" t="n">
        <f aca="false">MAX(Допущения!$E$18,ROUNDUP(Q32/Допущения!$E$68+P32/Допущения!$E$69,0))</f>
        <v>89</v>
      </c>
      <c r="S32" s="17" t="n">
        <f aca="false">ROUNDUP(R32/Допущения!$E$48,0)</f>
        <v>8</v>
      </c>
      <c r="T32" s="17" t="n">
        <f aca="false">L32*F32/(1+Допущения!$E$6)</f>
        <v>22786609.8283101</v>
      </c>
      <c r="U32" s="17" t="n">
        <f aca="false">N32*Допущения!$E$28*E32/(1+Допущения!$E$6)</f>
        <v>3723436.54921173</v>
      </c>
      <c r="V32" s="17" t="n">
        <f aca="false">O32*Допущения!$E$26*Допущения!$E$27/(1+Допущения!$E$6)</f>
        <v>1213020.10560006</v>
      </c>
      <c r="W32" s="17" t="n">
        <f aca="false">T32+U32+V32</f>
        <v>27723066.4831219</v>
      </c>
      <c r="X32" s="17" t="n">
        <f aca="false">J32*Допущения!$E$37</f>
        <v>30000</v>
      </c>
      <c r="Y32" s="17" t="n">
        <f aca="false">(R32*Допущения!$E$47+S32*Допущения!$E$49)*D32*Допущения!$E$9</f>
        <v>10121820.912</v>
      </c>
      <c r="Z32" s="17" t="n">
        <f aca="false">(MAX(0,R32-R31)+R32*Допущения!$E$50/12)*Допущения!$E$51*D32</f>
        <v>508258.8</v>
      </c>
      <c r="AA32" s="17" t="n">
        <f aca="false">O32*(Допущения!$E$53+Допущения!$E$54)+(L32*F32+N32*Допущения!$E$28*E32)*Допущения!$E$13</f>
        <v>4183212.97194174</v>
      </c>
      <c r="AB32" s="17" t="n">
        <f aca="false">(R32+S32)*Допущения!$E$52</f>
        <v>261900</v>
      </c>
      <c r="AC32" s="17" t="n">
        <f aca="false">SUMPRODUCT(Допущения!$B$84:$B$91,Допущения!$C$84:$C$91,--(Допущения!$D$84:$D$91&lt;=A32))*D32*Допущения!$E$9</f>
        <v>2293165.728</v>
      </c>
      <c r="AD32" s="17" t="n">
        <f aca="false">(AC32+Y32)*Допущения!$E$14</f>
        <v>1241498.664</v>
      </c>
      <c r="AE32" s="17" t="n">
        <f aca="false">Допущения!$E$55+Допущения!$E$56*O32/1000+Допущения!$E$57</f>
        <v>218927.174871044</v>
      </c>
      <c r="AF32" s="17" t="n">
        <f aca="false">SUMIF(Допущения!$B$95:$B$103,A32,Допущения!$C$95:$C$103)</f>
        <v>0</v>
      </c>
      <c r="AG32" s="17" t="n">
        <v>0</v>
      </c>
      <c r="AH32" s="17" t="n">
        <f aca="false">G32+SUM(X32:AG32)</f>
        <v>21207369.7090499</v>
      </c>
      <c r="AI32" s="17" t="n">
        <f aca="false">W32-AH32</f>
        <v>6515696.77407198</v>
      </c>
      <c r="AJ32" s="17" t="n">
        <f aca="false">AJ31+AI32</f>
        <v>32315944.2920495</v>
      </c>
      <c r="AK32" s="17" t="n">
        <f aca="false">O32*Допущения!$E$58*Допущения!$E$59</f>
        <v>488361.894514582</v>
      </c>
      <c r="AL32" s="17" t="n">
        <f aca="false">T32*Допущения!$E$72</f>
        <v>1148904.69722572</v>
      </c>
      <c r="AM32" s="17" t="n">
        <f aca="false">IF(MOD(A32,12)=0,INDEX($F$70:$F$74,B32),0)</f>
        <v>0</v>
      </c>
      <c r="AN32" s="17" t="n">
        <f aca="false">AI32-AM32</f>
        <v>6515696.77407198</v>
      </c>
      <c r="AO32" s="26" t="n">
        <f aca="false">1/(1+Допущения!$E$74)^A32</f>
        <v>0.639278915615386</v>
      </c>
      <c r="AP32" s="21" t="n">
        <f aca="false">IF(AND(A32&gt;Допущения!$E$19,MIN(AI32:AI$65)&gt;0),A32,"")</f>
        <v>27</v>
      </c>
      <c r="AQ32" s="21" t="n">
        <f aca="false">IF(MIN(AJ32:AJ$65)&gt;0,A32,"")</f>
        <v>27</v>
      </c>
    </row>
    <row r="33" customFormat="false" ht="15" hidden="false" customHeight="false" outlineLevel="0" collapsed="false">
      <c r="A33" s="28" t="n">
        <v>28</v>
      </c>
      <c r="B33" s="28" t="n">
        <f aca="false">INT((A33-1)/12)+1</f>
        <v>3</v>
      </c>
      <c r="C33" s="12" t="s">
        <v>462</v>
      </c>
      <c r="D33" s="15" t="n">
        <f aca="false">(1+Допущения!$E$11)^(B33-1)</f>
        <v>1.1664</v>
      </c>
      <c r="E33" s="15" t="n">
        <f aca="false">(1+Допущения!$E$12)^(B33-1)</f>
        <v>1.1449</v>
      </c>
      <c r="F33" s="17" t="n">
        <f aca="false">Допущения!$E$71*E33</f>
        <v>3531.421152</v>
      </c>
      <c r="G33" s="17" t="n">
        <f aca="false">MIN(G32*(1+Допущения!$E$33),Допущения!$E$34)</f>
        <v>2500000</v>
      </c>
      <c r="H33" s="25" t="n">
        <f aca="false">MIN(Допущения!$E$30,G33/Допущения!$E$29)</f>
        <v>400</v>
      </c>
      <c r="I33" s="25" t="n">
        <f aca="false">MAX(0,G33-H33*Допущения!$E$29)/Допущения!$E$31</f>
        <v>422.222222222222</v>
      </c>
      <c r="J33" s="25" t="n">
        <f aca="false">IF(A33&gt;=Допущения!$E$35,Допущения!$E$36,0)</f>
        <v>60</v>
      </c>
      <c r="K33" s="25" t="n">
        <f aca="false">H33+I33+J33</f>
        <v>882.222222222222</v>
      </c>
      <c r="L33" s="25" t="n">
        <f aca="false">(L32-K32)*(1-Допущения!$E$44)+K32*(1-Допущения!$E$43)+K33</f>
        <v>8285.51029858755</v>
      </c>
      <c r="M33" s="25" t="n">
        <f aca="false">IF(A33&gt;=Допущения!$E$38,Допущения!$E$73/Допущения!$E$42*MIN(Допущения!$E$42,A33-Допущения!$E$38+1),0)</f>
        <v>120</v>
      </c>
      <c r="N33" s="25" t="n">
        <f aca="false">N32*(1-Допущения!$E$45)+M33</f>
        <v>2073.93103970264</v>
      </c>
      <c r="O33" s="25" t="n">
        <f aca="false">L33+N33</f>
        <v>10359.4413382902</v>
      </c>
      <c r="P33" s="25" t="n">
        <f aca="false">L33*Допущения!$E$25</f>
        <v>2485.65308957627</v>
      </c>
      <c r="Q33" s="25" t="n">
        <f aca="false">L33*(1-Допущения!$E$25)+N33</f>
        <v>7873.78824871393</v>
      </c>
      <c r="R33" s="17" t="n">
        <f aca="false">MAX(Допущения!$E$18,ROUNDUP(Q33/Допущения!$E$68+P33/Допущения!$E$69,0))</f>
        <v>94</v>
      </c>
      <c r="S33" s="17" t="n">
        <f aca="false">ROUNDUP(R33/Допущения!$E$48,0)</f>
        <v>8</v>
      </c>
      <c r="T33" s="17" t="n">
        <f aca="false">L33*F33/(1+Допущения!$E$6)</f>
        <v>23983300.2652016</v>
      </c>
      <c r="U33" s="17" t="n">
        <f aca="false">N33*Допущения!$E$28*E33/(1+Допущения!$E$6)</f>
        <v>3873067.91658816</v>
      </c>
      <c r="V33" s="17" t="n">
        <f aca="false">O33*Допущения!$E$26*Допущения!$E$27/(1+Допущения!$E$6)</f>
        <v>1273701.80388814</v>
      </c>
      <c r="W33" s="17" t="n">
        <f aca="false">T33+U33+V33</f>
        <v>29130069.9856779</v>
      </c>
      <c r="X33" s="17" t="n">
        <f aca="false">J33*Допущения!$E$37</f>
        <v>30000</v>
      </c>
      <c r="Y33" s="17" t="n">
        <f aca="false">(R33*Допущения!$E$47+S33*Допущения!$E$49)*D33*Допущения!$E$9</f>
        <v>10615383.072</v>
      </c>
      <c r="Z33" s="17" t="n">
        <f aca="false">(MAX(0,R33-R32)+R33*Допущения!$E$50/12)*Допущения!$E$51*D33</f>
        <v>600112.8</v>
      </c>
      <c r="AA33" s="17" t="n">
        <f aca="false">O33*(Допущения!$E$53+Допущения!$E$54)+(L33*F33+N33*Допущения!$E$28*E33)*Допущения!$E$13</f>
        <v>4392921.93374802</v>
      </c>
      <c r="AB33" s="17" t="n">
        <f aca="false">(R33+S33)*Допущения!$E$52</f>
        <v>275400</v>
      </c>
      <c r="AC33" s="17" t="n">
        <f aca="false">SUMPRODUCT(Допущения!$B$84:$B$91,Допущения!$C$84:$C$91,--(Допущения!$D$84:$D$91&lt;=A33))*D33*Допущения!$E$9</f>
        <v>2293165.728</v>
      </c>
      <c r="AD33" s="17" t="n">
        <f aca="false">(AC33+Y33)*Допущения!$E$14</f>
        <v>1290854.88</v>
      </c>
      <c r="AE33" s="17" t="n">
        <f aca="false">Допущения!$E$55+Допущения!$E$56*O33/1000+Допущения!$E$57</f>
        <v>222875.530706322</v>
      </c>
      <c r="AF33" s="17" t="n">
        <f aca="false">SUMIF(Допущения!$B$95:$B$103,A33,Допущения!$C$95:$C$103)</f>
        <v>0</v>
      </c>
      <c r="AG33" s="17" t="n">
        <v>0</v>
      </c>
      <c r="AH33" s="17" t="n">
        <f aca="false">G33+SUM(X33:AG33)</f>
        <v>22220713.9444543</v>
      </c>
      <c r="AI33" s="17" t="n">
        <f aca="false">W33-AH33</f>
        <v>6909356.04122352</v>
      </c>
      <c r="AJ33" s="17" t="n">
        <f aca="false">AJ32+AI33</f>
        <v>39225300.333273</v>
      </c>
      <c r="AK33" s="17" t="n">
        <f aca="false">O33*Допущения!$E$58*Допущения!$E$59</f>
        <v>512792.346245364</v>
      </c>
      <c r="AL33" s="17" t="n">
        <f aca="false">T33*Допущения!$E$72</f>
        <v>1209242.03017823</v>
      </c>
      <c r="AM33" s="17" t="n">
        <f aca="false">IF(MOD(A33,12)=0,INDEX($F$70:$F$74,B33),0)</f>
        <v>0</v>
      </c>
      <c r="AN33" s="17" t="n">
        <f aca="false">AI33-AM33</f>
        <v>6909356.04122352</v>
      </c>
      <c r="AO33" s="26" t="n">
        <f aca="false">1/(1+Допущения!$E$74)^A33</f>
        <v>0.628772774049389</v>
      </c>
      <c r="AP33" s="21" t="n">
        <f aca="false">IF(AND(A33&gt;Допущения!$E$19,MIN(AI33:AI$65)&gt;0),A33,"")</f>
        <v>28</v>
      </c>
      <c r="AQ33" s="21" t="n">
        <f aca="false">IF(MIN(AJ33:AJ$65)&gt;0,A33,"")</f>
        <v>28</v>
      </c>
    </row>
    <row r="34" customFormat="false" ht="15" hidden="false" customHeight="false" outlineLevel="0" collapsed="false">
      <c r="A34" s="28" t="n">
        <v>29</v>
      </c>
      <c r="B34" s="28" t="n">
        <f aca="false">INT((A34-1)/12)+1</f>
        <v>3</v>
      </c>
      <c r="C34" s="12" t="s">
        <v>462</v>
      </c>
      <c r="D34" s="15" t="n">
        <f aca="false">(1+Допущения!$E$11)^(B34-1)</f>
        <v>1.1664</v>
      </c>
      <c r="E34" s="15" t="n">
        <f aca="false">(1+Допущения!$E$12)^(B34-1)</f>
        <v>1.1449</v>
      </c>
      <c r="F34" s="17" t="n">
        <f aca="false">Допущения!$E$71*E34</f>
        <v>3531.421152</v>
      </c>
      <c r="G34" s="17" t="n">
        <f aca="false">MIN(G33*(1+Допущения!$E$33),Допущения!$E$34)</f>
        <v>2500000</v>
      </c>
      <c r="H34" s="25" t="n">
        <f aca="false">MIN(Допущения!$E$30,G34/Допущения!$E$29)</f>
        <v>400</v>
      </c>
      <c r="I34" s="25" t="n">
        <f aca="false">MAX(0,G34-H34*Допущения!$E$29)/Допущения!$E$31</f>
        <v>422.222222222222</v>
      </c>
      <c r="J34" s="25" t="n">
        <f aca="false">IF(A34&gt;=Допущения!$E$35,Допущения!$E$36,0)</f>
        <v>60</v>
      </c>
      <c r="K34" s="25" t="n">
        <f aca="false">H34+I34+J34</f>
        <v>882.222222222222</v>
      </c>
      <c r="L34" s="25" t="n">
        <f aca="false">(L33-K33)*(1-Допущения!$E$44)+K33*(1-Допущения!$E$43)+K34</f>
        <v>8675.78455737333</v>
      </c>
      <c r="M34" s="25" t="n">
        <f aca="false">IF(A34&gt;=Допущения!$E$38,Допущения!$E$73/Допущения!$E$42*MIN(Допущения!$E$42,A34-Допущения!$E$38+1),0)</f>
        <v>120</v>
      </c>
      <c r="N34" s="25" t="n">
        <f aca="false">N33*(1-Допущения!$E$45)+M34</f>
        <v>2152.45241890859</v>
      </c>
      <c r="O34" s="25" t="n">
        <f aca="false">L34+N34</f>
        <v>10828.2369762819</v>
      </c>
      <c r="P34" s="25" t="n">
        <f aca="false">L34*Допущения!$E$25</f>
        <v>2602.735367212</v>
      </c>
      <c r="Q34" s="25" t="n">
        <f aca="false">L34*(1-Допущения!$E$25)+N34</f>
        <v>8225.50160906992</v>
      </c>
      <c r="R34" s="17" t="n">
        <f aca="false">MAX(Допущения!$E$18,ROUNDUP(Q34/Допущения!$E$68+P34/Допущения!$E$69,0))</f>
        <v>98</v>
      </c>
      <c r="S34" s="17" t="n">
        <f aca="false">ROUNDUP(R34/Допущения!$E$48,0)</f>
        <v>9</v>
      </c>
      <c r="T34" s="17" t="n">
        <f aca="false">L34*F34/(1+Допущения!$E$6)</f>
        <v>25112991.0623796</v>
      </c>
      <c r="U34" s="17" t="n">
        <f aca="false">N34*Допущения!$E$28*E34/(1+Допущения!$E$6)</f>
        <v>4019706.65661705</v>
      </c>
      <c r="V34" s="17" t="n">
        <f aca="false">O34*Допущения!$E$26*Допущения!$E$27/(1+Допущения!$E$6)</f>
        <v>1331340.61183794</v>
      </c>
      <c r="W34" s="17" t="n">
        <f aca="false">T34+U34+V34</f>
        <v>30464038.3308346</v>
      </c>
      <c r="X34" s="17" t="n">
        <f aca="false">J34*Допущения!$E$37</f>
        <v>30000</v>
      </c>
      <c r="Y34" s="17" t="n">
        <f aca="false">(R34*Допущения!$E$47+S34*Допущения!$E$49)*D34*Допущения!$E$9</f>
        <v>11177284.608</v>
      </c>
      <c r="Z34" s="17" t="n">
        <f aca="false">(MAX(0,R34-R33)+R34*Допущения!$E$50/12)*Допущения!$E$51*D34</f>
        <v>526629.6</v>
      </c>
      <c r="AA34" s="17" t="n">
        <f aca="false">O34*(Допущения!$E$53+Допущения!$E$54)+(L34*F34+N34*Допущения!$E$28*E34)*Допущения!$E$13</f>
        <v>4592060.53825207</v>
      </c>
      <c r="AB34" s="17" t="n">
        <f aca="false">(R34+S34)*Допущения!$E$52</f>
        <v>288900</v>
      </c>
      <c r="AC34" s="17" t="n">
        <f aca="false">SUMPRODUCT(Допущения!$B$84:$B$91,Допущения!$C$84:$C$91,--(Допущения!$D$84:$D$91&lt;=A34))*D34*Допущения!$E$9</f>
        <v>2293165.728</v>
      </c>
      <c r="AD34" s="17" t="n">
        <f aca="false">(AC34+Y34)*Допущения!$E$14</f>
        <v>1347045.0336</v>
      </c>
      <c r="AE34" s="17" t="n">
        <f aca="false">Допущения!$E$55+Допущения!$E$56*O34/1000+Допущения!$E$57</f>
        <v>226625.895810255</v>
      </c>
      <c r="AF34" s="17" t="n">
        <f aca="false">SUMIF(Допущения!$B$95:$B$103,A34,Допущения!$C$95:$C$103)</f>
        <v>0</v>
      </c>
      <c r="AG34" s="17" t="n">
        <v>0</v>
      </c>
      <c r="AH34" s="17" t="n">
        <f aca="false">G34+SUM(X34:AG34)</f>
        <v>22981711.4036623</v>
      </c>
      <c r="AI34" s="17" t="n">
        <f aca="false">W34-AH34</f>
        <v>7482326.92717229</v>
      </c>
      <c r="AJ34" s="17" t="n">
        <f aca="false">AJ33+AI34</f>
        <v>46707627.2604453</v>
      </c>
      <c r="AK34" s="17" t="n">
        <f aca="false">O34*Допущения!$E$58*Допущения!$E$59</f>
        <v>535997.730325955</v>
      </c>
      <c r="AL34" s="17" t="n">
        <f aca="false">T34*Допущения!$E$72</f>
        <v>1266201.23003595</v>
      </c>
      <c r="AM34" s="17" t="n">
        <f aca="false">IF(MOD(A34,12)=0,INDEX($F$70:$F$74,B34),0)</f>
        <v>0</v>
      </c>
      <c r="AN34" s="17" t="n">
        <f aca="false">AI34-AM34</f>
        <v>7482326.92717229</v>
      </c>
      <c r="AO34" s="26" t="n">
        <f aca="false">1/(1+Допущения!$E$74)^A34</f>
        <v>0.618439294224469</v>
      </c>
      <c r="AP34" s="21" t="n">
        <f aca="false">IF(AND(A34&gt;Допущения!$E$19,MIN(AI34:AI$65)&gt;0),A34,"")</f>
        <v>29</v>
      </c>
      <c r="AQ34" s="21" t="n">
        <f aca="false">IF(MIN(AJ34:AJ$65)&gt;0,A34,"")</f>
        <v>29</v>
      </c>
    </row>
    <row r="35" customFormat="false" ht="15" hidden="false" customHeight="false" outlineLevel="0" collapsed="false">
      <c r="A35" s="28" t="n">
        <v>30</v>
      </c>
      <c r="B35" s="28" t="n">
        <f aca="false">INT((A35-1)/12)+1</f>
        <v>3</v>
      </c>
      <c r="C35" s="12" t="s">
        <v>462</v>
      </c>
      <c r="D35" s="15" t="n">
        <f aca="false">(1+Допущения!$E$11)^(B35-1)</f>
        <v>1.1664</v>
      </c>
      <c r="E35" s="15" t="n">
        <f aca="false">(1+Допущения!$E$12)^(B35-1)</f>
        <v>1.1449</v>
      </c>
      <c r="F35" s="17" t="n">
        <f aca="false">Допущения!$E$71*E35</f>
        <v>3531.421152</v>
      </c>
      <c r="G35" s="17" t="n">
        <f aca="false">MIN(G34*(1+Допущения!$E$33),Допущения!$E$34)</f>
        <v>2500000</v>
      </c>
      <c r="H35" s="25" t="n">
        <f aca="false">MIN(Допущения!$E$30,G35/Допущения!$E$29)</f>
        <v>400</v>
      </c>
      <c r="I35" s="25" t="n">
        <f aca="false">MAX(0,G35-H35*Допущения!$E$29)/Допущения!$E$31</f>
        <v>422.222222222222</v>
      </c>
      <c r="J35" s="25" t="n">
        <f aca="false">IF(A35&gt;=Допущения!$E$35,Допущения!$E$36,0)</f>
        <v>60</v>
      </c>
      <c r="K35" s="25" t="n">
        <f aca="false">H35+I35+J35</f>
        <v>882.222222222222</v>
      </c>
      <c r="L35" s="25" t="n">
        <f aca="false">(L34-K34)*(1-Допущения!$E$44)+K34*(1-Допущения!$E$43)+K35</f>
        <v>9048.49647451375</v>
      </c>
      <c r="M35" s="25" t="n">
        <f aca="false">IF(A35&gt;=Допущения!$E$38,Допущения!$E$73/Допущения!$E$42*MIN(Допущения!$E$42,A35-Допущения!$E$38+1),0)</f>
        <v>120</v>
      </c>
      <c r="N35" s="25" t="n">
        <f aca="false">N34*(1-Допущения!$E$45)+M35</f>
        <v>2229.40337053042</v>
      </c>
      <c r="O35" s="25" t="n">
        <f aca="false">L35+N35</f>
        <v>11277.8998450442</v>
      </c>
      <c r="P35" s="25" t="n">
        <f aca="false">L35*Допущения!$E$25</f>
        <v>2714.54894235413</v>
      </c>
      <c r="Q35" s="25" t="n">
        <f aca="false">L35*(1-Допущения!$E$25)+N35</f>
        <v>8563.35090269004</v>
      </c>
      <c r="R35" s="17" t="n">
        <f aca="false">MAX(Допущения!$E$18,ROUNDUP(Q35/Допущения!$E$68+P35/Допущения!$E$69,0))</f>
        <v>102</v>
      </c>
      <c r="S35" s="17" t="n">
        <f aca="false">ROUNDUP(R35/Допущения!$E$48,0)</f>
        <v>9</v>
      </c>
      <c r="T35" s="17" t="n">
        <f aca="false">L35*F35/(1+Допущения!$E$6)</f>
        <v>26191845.7736847</v>
      </c>
      <c r="U35" s="17" t="n">
        <f aca="false">N35*Допущения!$E$28*E35/(1+Допущения!$E$6)</f>
        <v>4163412.62184536</v>
      </c>
      <c r="V35" s="17" t="n">
        <f aca="false">O35*Допущения!$E$26*Допущения!$E$27/(1+Допущения!$E$6)</f>
        <v>1386627.03012838</v>
      </c>
      <c r="W35" s="17" t="n">
        <f aca="false">T35+U35+V35</f>
        <v>31741885.4256584</v>
      </c>
      <c r="X35" s="17" t="n">
        <f aca="false">J35*Допущения!$E$37</f>
        <v>30000</v>
      </c>
      <c r="Y35" s="17" t="n">
        <f aca="false">(R35*Допущения!$E$47+S35*Допущения!$E$49)*D35*Допущения!$E$9</f>
        <v>11572134.336</v>
      </c>
      <c r="Z35" s="17" t="n">
        <f aca="false">(MAX(0,R35-R34)+R35*Допущения!$E$50/12)*Допущения!$E$51*D35</f>
        <v>534794.4</v>
      </c>
      <c r="AA35" s="17" t="n">
        <f aca="false">O35*(Допущения!$E$53+Допущения!$E$54)+(L35*F35+N35*Допущения!$E$28*E35)*Допущения!$E$13</f>
        <v>4783034.91780696</v>
      </c>
      <c r="AB35" s="17" t="n">
        <f aca="false">(R35+S35)*Допущения!$E$52</f>
        <v>299700</v>
      </c>
      <c r="AC35" s="17" t="n">
        <f aca="false">SUMPRODUCT(Допущения!$B$84:$B$91,Допущения!$C$84:$C$91,--(Допущения!$D$84:$D$91&lt;=A35))*D35*Допущения!$E$9</f>
        <v>2293165.728</v>
      </c>
      <c r="AD35" s="17" t="n">
        <f aca="false">(AC35+Y35)*Допущения!$E$14</f>
        <v>1386530.0064</v>
      </c>
      <c r="AE35" s="17" t="n">
        <f aca="false">Допущения!$E$55+Допущения!$E$56*O35/1000+Допущения!$E$57</f>
        <v>230223.198760353</v>
      </c>
      <c r="AF35" s="17" t="n">
        <f aca="false">SUMIF(Допущения!$B$95:$B$103,A35,Допущения!$C$95:$C$103)</f>
        <v>0</v>
      </c>
      <c r="AG35" s="17" t="n">
        <v>0</v>
      </c>
      <c r="AH35" s="17" t="n">
        <f aca="false">G35+SUM(X35:AG35)</f>
        <v>23629582.5869673</v>
      </c>
      <c r="AI35" s="17" t="n">
        <f aca="false">W35-AH35</f>
        <v>8112302.8386911</v>
      </c>
      <c r="AJ35" s="17" t="n">
        <f aca="false">AJ34+AI35</f>
        <v>54819930.0991364</v>
      </c>
      <c r="AK35" s="17" t="n">
        <f aca="false">O35*Допущения!$E$58*Допущения!$E$59</f>
        <v>558256.042329686</v>
      </c>
      <c r="AL35" s="17" t="n">
        <f aca="false">T35*Допущения!$E$72</f>
        <v>1320597.26590007</v>
      </c>
      <c r="AM35" s="17" t="n">
        <f aca="false">IF(MOD(A35,12)=0,INDEX($F$70:$F$74,B35),0)</f>
        <v>0</v>
      </c>
      <c r="AN35" s="17" t="n">
        <f aca="false">AI35-AM35</f>
        <v>8112302.8386911</v>
      </c>
      <c r="AO35" s="26" t="n">
        <f aca="false">1/(1+Допущения!$E$74)^A35</f>
        <v>0.608275638554951</v>
      </c>
      <c r="AP35" s="21" t="n">
        <f aca="false">IF(AND(A35&gt;Допущения!$E$19,MIN(AI35:AI$65)&gt;0),A35,"")</f>
        <v>30</v>
      </c>
      <c r="AQ35" s="21" t="n">
        <f aca="false">IF(MIN(AJ35:AJ$65)&gt;0,A35,"")</f>
        <v>30</v>
      </c>
    </row>
    <row r="36" customFormat="false" ht="15" hidden="false" customHeight="false" outlineLevel="0" collapsed="false">
      <c r="A36" s="28" t="n">
        <v>31</v>
      </c>
      <c r="B36" s="28" t="n">
        <f aca="false">INT((A36-1)/12)+1</f>
        <v>3</v>
      </c>
      <c r="C36" s="12" t="s">
        <v>462</v>
      </c>
      <c r="D36" s="15" t="n">
        <f aca="false">(1+Допущения!$E$11)^(B36-1)</f>
        <v>1.1664</v>
      </c>
      <c r="E36" s="15" t="n">
        <f aca="false">(1+Допущения!$E$12)^(B36-1)</f>
        <v>1.1449</v>
      </c>
      <c r="F36" s="17" t="n">
        <f aca="false">Допущения!$E$71*E36</f>
        <v>3531.421152</v>
      </c>
      <c r="G36" s="17" t="n">
        <f aca="false">MIN(G35*(1+Допущения!$E$33),Допущения!$E$34)</f>
        <v>2500000</v>
      </c>
      <c r="H36" s="25" t="n">
        <f aca="false">MIN(Допущения!$E$30,G36/Допущения!$E$29)</f>
        <v>400</v>
      </c>
      <c r="I36" s="25" t="n">
        <f aca="false">MAX(0,G36-H36*Допущения!$E$29)/Допущения!$E$31</f>
        <v>422.222222222222</v>
      </c>
      <c r="J36" s="25" t="n">
        <f aca="false">IF(A36&gt;=Допущения!$E$35,Допущения!$E$36,0)</f>
        <v>60</v>
      </c>
      <c r="K36" s="25" t="n">
        <f aca="false">H36+I36+J36</f>
        <v>882.222222222222</v>
      </c>
      <c r="L36" s="25" t="n">
        <f aca="false">(L35-K35)*(1-Допущения!$E$44)+K35*(1-Допущения!$E$43)+K36</f>
        <v>9404.43635538286</v>
      </c>
      <c r="M36" s="25" t="n">
        <f aca="false">IF(A36&gt;=Допущения!$E$38,Допущения!$E$73/Допущения!$E$42*MIN(Допущения!$E$42,A36-Допущения!$E$38+1),0)</f>
        <v>120</v>
      </c>
      <c r="N36" s="25" t="n">
        <f aca="false">N35*(1-Допущения!$E$45)+M36</f>
        <v>2304.81530311981</v>
      </c>
      <c r="O36" s="25" t="n">
        <f aca="false">L36+N36</f>
        <v>11709.2516585027</v>
      </c>
      <c r="P36" s="25" t="n">
        <f aca="false">L36*Допущения!$E$25</f>
        <v>2821.33090661486</v>
      </c>
      <c r="Q36" s="25" t="n">
        <f aca="false">L36*(1-Допущения!$E$25)+N36</f>
        <v>8887.92075188781</v>
      </c>
      <c r="R36" s="17" t="n">
        <f aca="false">MAX(Допущения!$E$18,ROUNDUP(Q36/Допущения!$E$68+P36/Допущения!$E$69,0))</f>
        <v>106</v>
      </c>
      <c r="S36" s="17" t="n">
        <f aca="false">ROUNDUP(R36/Допущения!$E$48,0)</f>
        <v>9</v>
      </c>
      <c r="T36" s="17" t="n">
        <f aca="false">L36*F36/(1+Допущения!$E$6)</f>
        <v>27222152.022981</v>
      </c>
      <c r="U36" s="17" t="n">
        <f aca="false">N36*Допущения!$E$28*E36/(1+Допущения!$E$6)</f>
        <v>4304244.46776911</v>
      </c>
      <c r="V36" s="17" t="n">
        <f aca="false">O36*Допущения!$E$26*Допущения!$E$27/(1+Допущения!$E$6)</f>
        <v>1439662.08916016</v>
      </c>
      <c r="W36" s="17" t="n">
        <f aca="false">T36+U36+V36</f>
        <v>32966058.5799103</v>
      </c>
      <c r="X36" s="17" t="n">
        <f aca="false">J36*Допущения!$E$37</f>
        <v>30000</v>
      </c>
      <c r="Y36" s="17" t="n">
        <f aca="false">(R36*Допущения!$E$47+S36*Допущения!$E$49)*D36*Допущения!$E$9</f>
        <v>11966984.064</v>
      </c>
      <c r="Z36" s="17" t="n">
        <f aca="false">(MAX(0,R36-R35)+R36*Допущения!$E$50/12)*Допущения!$E$51*D36</f>
        <v>542959.2</v>
      </c>
      <c r="AA36" s="17" t="n">
        <f aca="false">O36*(Допущения!$E$53+Допущения!$E$54)+(L36*F36+N36*Допущения!$E$28*E36)*Допущения!$E$13</f>
        <v>4966196.52229034</v>
      </c>
      <c r="AB36" s="17" t="n">
        <f aca="false">(R36+S36)*Допущения!$E$52</f>
        <v>310500</v>
      </c>
      <c r="AC36" s="17" t="n">
        <f aca="false">SUMPRODUCT(Допущения!$B$84:$B$91,Допущения!$C$84:$C$91,--(Допущения!$D$84:$D$91&lt;=A36))*D36*Допущения!$E$9</f>
        <v>2293165.728</v>
      </c>
      <c r="AD36" s="17" t="n">
        <f aca="false">(AC36+Y36)*Допущения!$E$14</f>
        <v>1426014.9792</v>
      </c>
      <c r="AE36" s="17" t="n">
        <f aca="false">Допущения!$E$55+Допущения!$E$56*O36/1000+Допущения!$E$57</f>
        <v>233674.013268021</v>
      </c>
      <c r="AF36" s="17" t="n">
        <f aca="false">SUMIF(Допущения!$B$95:$B$103,A36,Допущения!$C$95:$C$103)</f>
        <v>0</v>
      </c>
      <c r="AG36" s="17" t="n">
        <v>0</v>
      </c>
      <c r="AH36" s="17" t="n">
        <f aca="false">G36+SUM(X36:AG36)</f>
        <v>24269494.5067584</v>
      </c>
      <c r="AI36" s="17" t="n">
        <f aca="false">W36-AH36</f>
        <v>8696564.0731519</v>
      </c>
      <c r="AJ36" s="17" t="n">
        <f aca="false">AJ35+AI36</f>
        <v>63516494.1722883</v>
      </c>
      <c r="AK36" s="17" t="n">
        <f aca="false">O36*Допущения!$E$58*Допущения!$E$59</f>
        <v>579607.957095882</v>
      </c>
      <c r="AL36" s="17" t="n">
        <f aca="false">T36*Допущения!$E$72</f>
        <v>1372545.4801503</v>
      </c>
      <c r="AM36" s="17" t="n">
        <f aca="false">IF(MOD(A36,12)=0,INDEX($F$70:$F$74,B36),0)</f>
        <v>0</v>
      </c>
      <c r="AN36" s="17" t="n">
        <f aca="false">AI36-AM36</f>
        <v>8696564.0731519</v>
      </c>
      <c r="AO36" s="26" t="n">
        <f aca="false">1/(1+Допущения!$E$74)^A36</f>
        <v>0.598279016089068</v>
      </c>
      <c r="AP36" s="21" t="n">
        <f aca="false">IF(AND(A36&gt;Допущения!$E$19,MIN(AI36:AI$65)&gt;0),A36,"")</f>
        <v>31</v>
      </c>
      <c r="AQ36" s="21" t="n">
        <f aca="false">IF(MIN(AJ36:AJ$65)&gt;0,A36,"")</f>
        <v>31</v>
      </c>
    </row>
    <row r="37" customFormat="false" ht="15" hidden="false" customHeight="false" outlineLevel="0" collapsed="false">
      <c r="A37" s="28" t="n">
        <v>32</v>
      </c>
      <c r="B37" s="28" t="n">
        <f aca="false">INT((A37-1)/12)+1</f>
        <v>3</v>
      </c>
      <c r="C37" s="12" t="s">
        <v>462</v>
      </c>
      <c r="D37" s="15" t="n">
        <f aca="false">(1+Допущения!$E$11)^(B37-1)</f>
        <v>1.1664</v>
      </c>
      <c r="E37" s="15" t="n">
        <f aca="false">(1+Допущения!$E$12)^(B37-1)</f>
        <v>1.1449</v>
      </c>
      <c r="F37" s="17" t="n">
        <f aca="false">Допущения!$E$71*E37</f>
        <v>3531.421152</v>
      </c>
      <c r="G37" s="17" t="n">
        <f aca="false">MIN(G36*(1+Допущения!$E$33),Допущения!$E$34)</f>
        <v>2500000</v>
      </c>
      <c r="H37" s="25" t="n">
        <f aca="false">MIN(Допущения!$E$30,G37/Допущения!$E$29)</f>
        <v>400</v>
      </c>
      <c r="I37" s="25" t="n">
        <f aca="false">MAX(0,G37-H37*Допущения!$E$29)/Допущения!$E$31</f>
        <v>422.222222222222</v>
      </c>
      <c r="J37" s="25" t="n">
        <f aca="false">IF(A37&gt;=Допущения!$E$35,Допущения!$E$36,0)</f>
        <v>60</v>
      </c>
      <c r="K37" s="25" t="n">
        <f aca="false">H37+I37+J37</f>
        <v>882.222222222222</v>
      </c>
      <c r="L37" s="25" t="n">
        <f aca="false">(L36-K36)*(1-Допущения!$E$44)+K36*(1-Допущения!$E$43)+K37</f>
        <v>9744.35894161285</v>
      </c>
      <c r="M37" s="25" t="n">
        <f aca="false">IF(A37&gt;=Допущения!$E$38,Допущения!$E$73/Допущения!$E$42*MIN(Допущения!$E$42,A37-Допущения!$E$38+1),0)</f>
        <v>120</v>
      </c>
      <c r="N37" s="25" t="n">
        <f aca="false">N36*(1-Допущения!$E$45)+M37</f>
        <v>2378.71899705741</v>
      </c>
      <c r="O37" s="25" t="n">
        <f aca="false">L37+N37</f>
        <v>12123.0779386703</v>
      </c>
      <c r="P37" s="25" t="n">
        <f aca="false">L37*Допущения!$E$25</f>
        <v>2923.30768248385</v>
      </c>
      <c r="Q37" s="25" t="n">
        <f aca="false">L37*(1-Допущения!$E$25)+N37</f>
        <v>9199.7702561864</v>
      </c>
      <c r="R37" s="17" t="n">
        <f aca="false">MAX(Допущения!$E$18,ROUNDUP(Q37/Допущения!$E$68+P37/Допущения!$E$69,0))</f>
        <v>110</v>
      </c>
      <c r="S37" s="17" t="n">
        <f aca="false">ROUNDUP(R37/Допущения!$E$48,0)</f>
        <v>10</v>
      </c>
      <c r="T37" s="17" t="n">
        <f aca="false">L37*F37/(1+Допущения!$E$6)</f>
        <v>28206094.491059</v>
      </c>
      <c r="U37" s="17" t="n">
        <f aca="false">N37*Допущения!$E$28*E37/(1+Допущения!$E$6)</f>
        <v>4442259.67677438</v>
      </c>
      <c r="V37" s="17" t="n">
        <f aca="false">O37*Допущения!$E$26*Допущения!$E$27/(1+Допущения!$E$6)</f>
        <v>1490542.36950864</v>
      </c>
      <c r="W37" s="17" t="n">
        <f aca="false">T37+U37+V37</f>
        <v>34138896.537342</v>
      </c>
      <c r="X37" s="17" t="n">
        <f aca="false">J37*Допущения!$E$37</f>
        <v>30000</v>
      </c>
      <c r="Y37" s="17" t="n">
        <f aca="false">(R37*Допущения!$E$47+S37*Допущения!$E$49)*D37*Допущения!$E$9</f>
        <v>12528885.6</v>
      </c>
      <c r="Z37" s="17" t="n">
        <f aca="false">(MAX(0,R37-R36)+R37*Допущения!$E$50/12)*Допущения!$E$51*D37</f>
        <v>551124</v>
      </c>
      <c r="AA37" s="17" t="n">
        <f aca="false">O37*(Допущения!$E$53+Допущения!$E$54)+(L37*F37+N37*Допущения!$E$28*E37)*Допущения!$E$13</f>
        <v>5141881.30514027</v>
      </c>
      <c r="AB37" s="17" t="n">
        <f aca="false">(R37+S37)*Допущения!$E$52</f>
        <v>324000</v>
      </c>
      <c r="AC37" s="17" t="n">
        <f aca="false">SUMPRODUCT(Допущения!$B$84:$B$91,Допущения!$C$84:$C$91,--(Допущения!$D$84:$D$91&lt;=A37))*D37*Допущения!$E$9</f>
        <v>2293165.728</v>
      </c>
      <c r="AD37" s="17" t="n">
        <f aca="false">(AC37+Y37)*Допущения!$E$14</f>
        <v>1482205.1328</v>
      </c>
      <c r="AE37" s="17" t="n">
        <f aca="false">Допущения!$E$55+Допущения!$E$56*O37/1000+Допущения!$E$57</f>
        <v>236984.623509362</v>
      </c>
      <c r="AF37" s="17" t="n">
        <f aca="false">SUMIF(Допущения!$B$95:$B$103,A37,Допущения!$C$95:$C$103)</f>
        <v>0</v>
      </c>
      <c r="AG37" s="17" t="n">
        <v>0</v>
      </c>
      <c r="AH37" s="17" t="n">
        <f aca="false">G37+SUM(X37:AG37)</f>
        <v>25088246.3894496</v>
      </c>
      <c r="AI37" s="17" t="n">
        <f aca="false">W37-AH37</f>
        <v>9050650.14789237</v>
      </c>
      <c r="AJ37" s="17" t="n">
        <f aca="false">AJ36+AI37</f>
        <v>72567144.3201807</v>
      </c>
      <c r="AK37" s="17" t="n">
        <f aca="false">O37*Допущения!$E$58*Допущения!$E$59</f>
        <v>600092.357964178</v>
      </c>
      <c r="AL37" s="17" t="n">
        <f aca="false">T37*Допущения!$E$72</f>
        <v>1422156.02475928</v>
      </c>
      <c r="AM37" s="17" t="n">
        <f aca="false">IF(MOD(A37,12)=0,INDEX($F$70:$F$74,B37),0)</f>
        <v>0</v>
      </c>
      <c r="AN37" s="17" t="n">
        <f aca="false">AI37-AM37</f>
        <v>9050650.14789237</v>
      </c>
      <c r="AO37" s="26" t="n">
        <f aca="false">1/(1+Допущения!$E$74)^A37</f>
        <v>0.588446681742569</v>
      </c>
      <c r="AP37" s="21" t="n">
        <f aca="false">IF(AND(A37&gt;Допущения!$E$19,MIN(AI37:AI$65)&gt;0),A37,"")</f>
        <v>32</v>
      </c>
      <c r="AQ37" s="21" t="n">
        <f aca="false">IF(MIN(AJ37:AJ$65)&gt;0,A37,"")</f>
        <v>32</v>
      </c>
    </row>
    <row r="38" customFormat="false" ht="15" hidden="false" customHeight="false" outlineLevel="0" collapsed="false">
      <c r="A38" s="28" t="n">
        <v>33</v>
      </c>
      <c r="B38" s="28" t="n">
        <f aca="false">INT((A38-1)/12)+1</f>
        <v>3</v>
      </c>
      <c r="C38" s="12" t="s">
        <v>462</v>
      </c>
      <c r="D38" s="15" t="n">
        <f aca="false">(1+Допущения!$E$11)^(B38-1)</f>
        <v>1.1664</v>
      </c>
      <c r="E38" s="15" t="n">
        <f aca="false">(1+Допущения!$E$12)^(B38-1)</f>
        <v>1.1449</v>
      </c>
      <c r="F38" s="17" t="n">
        <f aca="false">Допущения!$E$71*E38</f>
        <v>3531.421152</v>
      </c>
      <c r="G38" s="17" t="n">
        <f aca="false">MIN(G37*(1+Допущения!$E$33),Допущения!$E$34)</f>
        <v>2500000</v>
      </c>
      <c r="H38" s="25" t="n">
        <f aca="false">MIN(Допущения!$E$30,G38/Допущения!$E$29)</f>
        <v>400</v>
      </c>
      <c r="I38" s="25" t="n">
        <f aca="false">MAX(0,G38-H38*Допущения!$E$29)/Допущения!$E$31</f>
        <v>422.222222222222</v>
      </c>
      <c r="J38" s="25" t="n">
        <f aca="false">IF(A38&gt;=Допущения!$E$35,Допущения!$E$36,0)</f>
        <v>60</v>
      </c>
      <c r="K38" s="25" t="n">
        <f aca="false">H38+I38+J38</f>
        <v>882.222222222222</v>
      </c>
      <c r="L38" s="25" t="n">
        <f aca="false">(L37-K37)*(1-Допущения!$E$44)+K37*(1-Допущения!$E$43)+K38</f>
        <v>10068.9850114625</v>
      </c>
      <c r="M38" s="25" t="n">
        <f aca="false">IF(A38&gt;=Допущения!$E$38,Допущения!$E$73/Допущения!$E$42*MIN(Допущения!$E$42,A38-Допущения!$E$38+1),0)</f>
        <v>120</v>
      </c>
      <c r="N38" s="25" t="n">
        <f aca="false">N37*(1-Допущения!$E$45)+M38</f>
        <v>2451.14461711626</v>
      </c>
      <c r="O38" s="25" t="n">
        <f aca="false">L38+N38</f>
        <v>12520.1296285788</v>
      </c>
      <c r="P38" s="25" t="n">
        <f aca="false">L38*Допущения!$E$25</f>
        <v>3020.69550343875</v>
      </c>
      <c r="Q38" s="25" t="n">
        <f aca="false">L38*(1-Допущения!$E$25)+N38</f>
        <v>9499.43412514001</v>
      </c>
      <c r="R38" s="17" t="n">
        <f aca="false">MAX(Допущения!$E$18,ROUNDUP(Q38/Допущения!$E$68+P38/Допущения!$E$69,0))</f>
        <v>113</v>
      </c>
      <c r="S38" s="17" t="n">
        <f aca="false">ROUNDUP(R38/Допущения!$E$48,0)</f>
        <v>10</v>
      </c>
      <c r="T38" s="17" t="n">
        <f aca="false">L38*F38/(1+Допущения!$E$6)</f>
        <v>29145759.5480734</v>
      </c>
      <c r="U38" s="17" t="n">
        <f aca="false">N38*Допущения!$E$28*E38/(1+Допущения!$E$6)</f>
        <v>4577514.58159955</v>
      </c>
      <c r="V38" s="17" t="n">
        <f aca="false">O38*Допущения!$E$26*Допущения!$E$27/(1+Допущения!$E$6)</f>
        <v>1539360.20023509</v>
      </c>
      <c r="W38" s="17" t="n">
        <f aca="false">T38+U38+V38</f>
        <v>35262634.3299081</v>
      </c>
      <c r="X38" s="17" t="n">
        <f aca="false">J38*Допущения!$E$37</f>
        <v>30000</v>
      </c>
      <c r="Y38" s="17" t="n">
        <f aca="false">(R38*Допущения!$E$47+S38*Допущения!$E$49)*D38*Допущения!$E$9</f>
        <v>12825022.896</v>
      </c>
      <c r="Z38" s="17" t="n">
        <f aca="false">(MAX(0,R38-R37)+R38*Допущения!$E$50/12)*Допущения!$E$51*D38</f>
        <v>475599.6</v>
      </c>
      <c r="AA38" s="17" t="n">
        <f aca="false">O38*(Допущения!$E$53+Допущения!$E$54)+(L38*F38+N38*Допущения!$E$28*E38)*Допущения!$E$13</f>
        <v>5310410.41431886</v>
      </c>
      <c r="AB38" s="17" t="n">
        <f aca="false">(R38+S38)*Допущения!$E$52</f>
        <v>332100</v>
      </c>
      <c r="AC38" s="17" t="n">
        <f aca="false">SUMPRODUCT(Допущения!$B$84:$B$91,Допущения!$C$84:$C$91,--(Допущения!$D$84:$D$91&lt;=A38))*D38*Допущения!$E$9</f>
        <v>2293165.728</v>
      </c>
      <c r="AD38" s="17" t="n">
        <f aca="false">(AC38+Y38)*Допущения!$E$14</f>
        <v>1511818.8624</v>
      </c>
      <c r="AE38" s="17" t="n">
        <f aca="false">Допущения!$E$55+Допущения!$E$56*O38/1000+Допущения!$E$57</f>
        <v>240161.03702863</v>
      </c>
      <c r="AF38" s="17" t="n">
        <f aca="false">SUMIF(Допущения!$B$95:$B$103,A38,Допущения!$C$95:$C$103)</f>
        <v>0</v>
      </c>
      <c r="AG38" s="17" t="n">
        <v>0</v>
      </c>
      <c r="AH38" s="17" t="n">
        <f aca="false">G38+SUM(X38:AG38)</f>
        <v>25518278.5377475</v>
      </c>
      <c r="AI38" s="17" t="n">
        <f aca="false">W38-AH38</f>
        <v>9744355.79216059</v>
      </c>
      <c r="AJ38" s="17" t="n">
        <f aca="false">AJ37+AI38</f>
        <v>82311500.1123413</v>
      </c>
      <c r="AK38" s="17" t="n">
        <f aca="false">O38*Допущения!$E$58*Допущения!$E$59</f>
        <v>619746.416614648</v>
      </c>
      <c r="AL38" s="17" t="n">
        <f aca="false">T38*Допущения!$E$72</f>
        <v>1469534.09486085</v>
      </c>
      <c r="AM38" s="17" t="n">
        <f aca="false">IF(MOD(A38,12)=0,INDEX($F$70:$F$74,B38),0)</f>
        <v>0</v>
      </c>
      <c r="AN38" s="17" t="n">
        <f aca="false">AI38-AM38</f>
        <v>9744355.79216059</v>
      </c>
      <c r="AO38" s="26" t="n">
        <f aca="false">1/(1+Допущения!$E$74)^A38</f>
        <v>0.578775935544913</v>
      </c>
      <c r="AP38" s="21" t="n">
        <f aca="false">IF(AND(A38&gt;Допущения!$E$19,MIN(AI38:AI$65)&gt;0),A38,"")</f>
        <v>33</v>
      </c>
      <c r="AQ38" s="21" t="n">
        <f aca="false">IF(MIN(AJ38:AJ$65)&gt;0,A38,"")</f>
        <v>33</v>
      </c>
    </row>
    <row r="39" customFormat="false" ht="15" hidden="false" customHeight="false" outlineLevel="0" collapsed="false">
      <c r="A39" s="28" t="n">
        <v>34</v>
      </c>
      <c r="B39" s="28" t="n">
        <f aca="false">INT((A39-1)/12)+1</f>
        <v>3</v>
      </c>
      <c r="C39" s="12" t="s">
        <v>462</v>
      </c>
      <c r="D39" s="15" t="n">
        <f aca="false">(1+Допущения!$E$11)^(B39-1)</f>
        <v>1.1664</v>
      </c>
      <c r="E39" s="15" t="n">
        <f aca="false">(1+Допущения!$E$12)^(B39-1)</f>
        <v>1.1449</v>
      </c>
      <c r="F39" s="17" t="n">
        <f aca="false">Допущения!$E$71*E39</f>
        <v>3531.421152</v>
      </c>
      <c r="G39" s="17" t="n">
        <f aca="false">MIN(G38*(1+Допущения!$E$33),Допущения!$E$34)</f>
        <v>2500000</v>
      </c>
      <c r="H39" s="25" t="n">
        <f aca="false">MIN(Допущения!$E$30,G39/Допущения!$E$29)</f>
        <v>400</v>
      </c>
      <c r="I39" s="25" t="n">
        <f aca="false">MAX(0,G39-H39*Допущения!$E$29)/Допущения!$E$31</f>
        <v>422.222222222222</v>
      </c>
      <c r="J39" s="25" t="n">
        <f aca="false">IF(A39&gt;=Допущения!$E$35,Допущения!$E$36,0)</f>
        <v>60</v>
      </c>
      <c r="K39" s="25" t="n">
        <f aca="false">H39+I39+J39</f>
        <v>882.222222222222</v>
      </c>
      <c r="L39" s="25" t="n">
        <f aca="false">(L38-K38)*(1-Допущения!$E$44)+K38*(1-Допущения!$E$43)+K39</f>
        <v>10379.0029081689</v>
      </c>
      <c r="M39" s="25" t="n">
        <f aca="false">IF(A39&gt;=Допущения!$E$38,Допущения!$E$73/Допущения!$E$42*MIN(Допущения!$E$42,A39-Допущения!$E$38+1),0)</f>
        <v>120</v>
      </c>
      <c r="N39" s="25" t="n">
        <f aca="false">N38*(1-Допущения!$E$45)+M39</f>
        <v>2522.12172477394</v>
      </c>
      <c r="O39" s="25" t="n">
        <f aca="false">L39+N39</f>
        <v>12901.1246329428</v>
      </c>
      <c r="P39" s="25" t="n">
        <f aca="false">L39*Допущения!$E$25</f>
        <v>3113.70087245067</v>
      </c>
      <c r="Q39" s="25" t="n">
        <f aca="false">L39*(1-Допущения!$E$25)+N39</f>
        <v>9787.42376049217</v>
      </c>
      <c r="R39" s="17" t="n">
        <f aca="false">MAX(Допущения!$E$18,ROUNDUP(Q39/Допущения!$E$68+P39/Допущения!$E$69,0))</f>
        <v>117</v>
      </c>
      <c r="S39" s="17" t="n">
        <f aca="false">ROUNDUP(R39/Допущения!$E$48,0)</f>
        <v>10</v>
      </c>
      <c r="T39" s="17" t="n">
        <f aca="false">L39*F39/(1+Допущения!$E$6)</f>
        <v>30043139.6775223</v>
      </c>
      <c r="U39" s="17" t="n">
        <f aca="false">N39*Допущения!$E$28*E39/(1+Допущения!$E$6)</f>
        <v>4710064.38832822</v>
      </c>
      <c r="V39" s="17" t="n">
        <f aca="false">O39*Допущения!$E$26*Допущения!$E$27/(1+Допущения!$E$6)</f>
        <v>1586203.84831264</v>
      </c>
      <c r="W39" s="17" t="n">
        <f aca="false">T39+U39+V39</f>
        <v>36339407.9141631</v>
      </c>
      <c r="X39" s="17" t="n">
        <f aca="false">J39*Допущения!$E$37</f>
        <v>30000</v>
      </c>
      <c r="Y39" s="17" t="n">
        <f aca="false">(R39*Допущения!$E$47+S39*Допущения!$E$49)*D39*Допущения!$E$9</f>
        <v>13219872.624</v>
      </c>
      <c r="Z39" s="17" t="n">
        <f aca="false">(MAX(0,R39-R38)+R39*Допущения!$E$50/12)*Допущения!$E$51*D39</f>
        <v>565412.4</v>
      </c>
      <c r="AA39" s="17" t="n">
        <f aca="false">O39*(Допущения!$E$53+Допущения!$E$54)+(L39*F39+N39*Допущения!$E$28*E39)*Допущения!$E$13</f>
        <v>5472090.85231021</v>
      </c>
      <c r="AB39" s="17" t="n">
        <f aca="false">(R39+S39)*Допущения!$E$52</f>
        <v>342900</v>
      </c>
      <c r="AC39" s="17" t="n">
        <f aca="false">SUMPRODUCT(Допущения!$B$84:$B$91,Допущения!$C$84:$C$91,--(Допущения!$D$84:$D$91&lt;=A39))*D39*Допущения!$E$9</f>
        <v>2293165.728</v>
      </c>
      <c r="AD39" s="17" t="n">
        <f aca="false">(AC39+Y39)*Допущения!$E$14</f>
        <v>1551303.8352</v>
      </c>
      <c r="AE39" s="17" t="n">
        <f aca="false">Допущения!$E$55+Допущения!$E$56*O39/1000+Допущения!$E$57</f>
        <v>243208.997063543</v>
      </c>
      <c r="AF39" s="17" t="n">
        <f aca="false">SUMIF(Допущения!$B$95:$B$103,A39,Допущения!$C$95:$C$103)</f>
        <v>0</v>
      </c>
      <c r="AG39" s="17" t="n">
        <v>0</v>
      </c>
      <c r="AH39" s="17" t="n">
        <f aca="false">G39+SUM(X39:AG39)</f>
        <v>26217954.4365738</v>
      </c>
      <c r="AI39" s="17" t="n">
        <f aca="false">W39-AH39</f>
        <v>10121453.4775894</v>
      </c>
      <c r="AJ39" s="17" t="n">
        <f aca="false">AJ38+AI39</f>
        <v>92432953.5899306</v>
      </c>
      <c r="AK39" s="17" t="n">
        <f aca="false">O39*Допущения!$E$58*Допущения!$E$59</f>
        <v>638605.669330671</v>
      </c>
      <c r="AL39" s="17" t="n">
        <f aca="false">T39*Допущения!$E$72</f>
        <v>1514780.15180785</v>
      </c>
      <c r="AM39" s="17" t="n">
        <f aca="false">IF(MOD(A39,12)=0,INDEX($F$70:$F$74,B39),0)</f>
        <v>0</v>
      </c>
      <c r="AN39" s="17" t="n">
        <f aca="false">AI39-AM39</f>
        <v>10121453.4775894</v>
      </c>
      <c r="AO39" s="26" t="n">
        <f aca="false">1/(1+Допущения!$E$74)^A39</f>
        <v>0.569264121897854</v>
      </c>
      <c r="AP39" s="21" t="n">
        <f aca="false">IF(AND(A39&gt;Допущения!$E$19,MIN(AI39:AI$65)&gt;0),A39,"")</f>
        <v>34</v>
      </c>
      <c r="AQ39" s="21" t="n">
        <f aca="false">IF(MIN(AJ39:AJ$65)&gt;0,A39,"")</f>
        <v>34</v>
      </c>
    </row>
    <row r="40" customFormat="false" ht="15" hidden="false" customHeight="false" outlineLevel="0" collapsed="false">
      <c r="A40" s="28" t="n">
        <v>35</v>
      </c>
      <c r="B40" s="28" t="n">
        <f aca="false">INT((A40-1)/12)+1</f>
        <v>3</v>
      </c>
      <c r="C40" s="12" t="s">
        <v>462</v>
      </c>
      <c r="D40" s="15" t="n">
        <f aca="false">(1+Допущения!$E$11)^(B40-1)</f>
        <v>1.1664</v>
      </c>
      <c r="E40" s="15" t="n">
        <f aca="false">(1+Допущения!$E$12)^(B40-1)</f>
        <v>1.1449</v>
      </c>
      <c r="F40" s="17" t="n">
        <f aca="false">Допущения!$E$71*E40</f>
        <v>3531.421152</v>
      </c>
      <c r="G40" s="17" t="n">
        <f aca="false">MIN(G39*(1+Допущения!$E$33),Допущения!$E$34)</f>
        <v>2500000</v>
      </c>
      <c r="H40" s="25" t="n">
        <f aca="false">MIN(Допущения!$E$30,G40/Допущения!$E$29)</f>
        <v>400</v>
      </c>
      <c r="I40" s="25" t="n">
        <f aca="false">MAX(0,G40-H40*Допущения!$E$29)/Допущения!$E$31</f>
        <v>422.222222222222</v>
      </c>
      <c r="J40" s="25" t="n">
        <f aca="false">IF(A40&gt;=Допущения!$E$35,Допущения!$E$36,0)</f>
        <v>60</v>
      </c>
      <c r="K40" s="25" t="n">
        <f aca="false">H40+I40+J40</f>
        <v>882.222222222222</v>
      </c>
      <c r="L40" s="25" t="n">
        <f aca="false">(L39-K39)*(1-Допущения!$E$44)+K39*(1-Допущения!$E$43)+K40</f>
        <v>10675.0699995235</v>
      </c>
      <c r="M40" s="25" t="n">
        <f aca="false">IF(A40&gt;=Допущения!$E$38,Допущения!$E$73/Допущения!$E$42*MIN(Допущения!$E$42,A40-Допущения!$E$38+1),0)</f>
        <v>120</v>
      </c>
      <c r="N40" s="25" t="n">
        <f aca="false">N39*(1-Допущения!$E$45)+M40</f>
        <v>2591.67929027846</v>
      </c>
      <c r="O40" s="25" t="n">
        <f aca="false">L40+N40</f>
        <v>13266.749289802</v>
      </c>
      <c r="P40" s="25" t="n">
        <f aca="false">L40*Допущения!$E$25</f>
        <v>3202.52099985706</v>
      </c>
      <c r="Q40" s="25" t="n">
        <f aca="false">L40*(1-Допущения!$E$25)+N40</f>
        <v>10064.2282899449</v>
      </c>
      <c r="R40" s="17" t="n">
        <f aca="false">MAX(Допущения!$E$18,ROUNDUP(Q40/Допущения!$E$68+P40/Допущения!$E$69,0))</f>
        <v>120</v>
      </c>
      <c r="S40" s="17" t="n">
        <f aca="false">ROUNDUP(R40/Допущения!$E$48,0)</f>
        <v>10</v>
      </c>
      <c r="T40" s="17" t="n">
        <f aca="false">L40*F40/(1+Допущения!$E$6)</f>
        <v>30900137.7011459</v>
      </c>
      <c r="U40" s="17" t="n">
        <f aca="false">N40*Допущения!$E$28*E40/(1+Допущения!$E$6)</f>
        <v>4839963.19892231</v>
      </c>
      <c r="V40" s="17" t="n">
        <f aca="false">O40*Допущения!$E$26*Допущения!$E$27/(1+Допущения!$E$6)</f>
        <v>1631157.69956582</v>
      </c>
      <c r="W40" s="17" t="n">
        <f aca="false">T40+U40+V40</f>
        <v>37371258.599634</v>
      </c>
      <c r="X40" s="17" t="n">
        <f aca="false">J40*Допущения!$E$37</f>
        <v>30000</v>
      </c>
      <c r="Y40" s="17" t="n">
        <f aca="false">(R40*Допущения!$E$47+S40*Допущения!$E$49)*D40*Допущения!$E$9</f>
        <v>13516009.92</v>
      </c>
      <c r="Z40" s="17" t="n">
        <f aca="false">(MAX(0,R40-R39)+R40*Допущения!$E$50/12)*Допущения!$E$51*D40</f>
        <v>489888</v>
      </c>
      <c r="AA40" s="17" t="n">
        <f aca="false">O40*(Допущения!$E$53+Допущения!$E$54)+(L40*F40+N40*Допущения!$E$28*E40)*Допущения!$E$13</f>
        <v>5627216.10654322</v>
      </c>
      <c r="AB40" s="17" t="n">
        <f aca="false">(R40+S40)*Допущения!$E$52</f>
        <v>351000</v>
      </c>
      <c r="AC40" s="17" t="n">
        <f aca="false">SUMPRODUCT(Допущения!$B$84:$B$91,Допущения!$C$84:$C$91,--(Допущения!$D$84:$D$91&lt;=A40))*D40*Допущения!$E$9</f>
        <v>2293165.728</v>
      </c>
      <c r="AD40" s="17" t="n">
        <f aca="false">(AC40+Y40)*Допущения!$E$14</f>
        <v>1580917.5648</v>
      </c>
      <c r="AE40" s="17" t="n">
        <f aca="false">Допущения!$E$55+Допущения!$E$56*O40/1000+Допущения!$E$57</f>
        <v>246133.994318416</v>
      </c>
      <c r="AF40" s="17" t="n">
        <f aca="false">SUMIF(Допущения!$B$95:$B$103,A40,Допущения!$C$95:$C$103)</f>
        <v>0</v>
      </c>
      <c r="AG40" s="17" t="n">
        <v>0</v>
      </c>
      <c r="AH40" s="17" t="n">
        <f aca="false">G40+SUM(X40:AG40)</f>
        <v>26634331.3136616</v>
      </c>
      <c r="AI40" s="17" t="n">
        <f aca="false">W40-AH40</f>
        <v>10736927.2859724</v>
      </c>
      <c r="AJ40" s="17" t="n">
        <f aca="false">AJ39+AI40</f>
        <v>103169880.875903</v>
      </c>
      <c r="AK40" s="17" t="n">
        <f aca="false">O40*Допущения!$E$58*Допущения!$E$59</f>
        <v>656704.089845198</v>
      </c>
      <c r="AL40" s="17" t="n">
        <f aca="false">T40*Допущения!$E$72</f>
        <v>1557990.13619223</v>
      </c>
      <c r="AM40" s="17" t="n">
        <f aca="false">IF(MOD(A40,12)=0,INDEX($F$70:$F$74,B40),0)</f>
        <v>0</v>
      </c>
      <c r="AN40" s="17" t="n">
        <f aca="false">AI40-AM40</f>
        <v>10736927.2859724</v>
      </c>
      <c r="AO40" s="26" t="n">
        <f aca="false">1/(1+Допущения!$E$74)^A40</f>
        <v>0.55990862884621</v>
      </c>
      <c r="AP40" s="21" t="n">
        <f aca="false">IF(AND(A40&gt;Допущения!$E$19,MIN(AI40:AI$65)&gt;0),A40,"")</f>
        <v>35</v>
      </c>
      <c r="AQ40" s="21" t="n">
        <f aca="false">IF(MIN(AJ40:AJ$65)&gt;0,A40,"")</f>
        <v>35</v>
      </c>
    </row>
    <row r="41" customFormat="false" ht="15" hidden="false" customHeight="false" outlineLevel="0" collapsed="false">
      <c r="A41" s="28" t="n">
        <v>36</v>
      </c>
      <c r="B41" s="28" t="n">
        <f aca="false">INT((A41-1)/12)+1</f>
        <v>3</v>
      </c>
      <c r="C41" s="12" t="s">
        <v>462</v>
      </c>
      <c r="D41" s="15" t="n">
        <f aca="false">(1+Допущения!$E$11)^(B41-1)</f>
        <v>1.1664</v>
      </c>
      <c r="E41" s="15" t="n">
        <f aca="false">(1+Допущения!$E$12)^(B41-1)</f>
        <v>1.1449</v>
      </c>
      <c r="F41" s="17" t="n">
        <f aca="false">Допущения!$E$71*E41</f>
        <v>3531.421152</v>
      </c>
      <c r="G41" s="17" t="n">
        <f aca="false">MIN(G40*(1+Допущения!$E$33),Допущения!$E$34)</f>
        <v>2500000</v>
      </c>
      <c r="H41" s="25" t="n">
        <f aca="false">MIN(Допущения!$E$30,G41/Допущения!$E$29)</f>
        <v>400</v>
      </c>
      <c r="I41" s="25" t="n">
        <f aca="false">MAX(0,G41-H41*Допущения!$E$29)/Допущения!$E$31</f>
        <v>422.222222222222</v>
      </c>
      <c r="J41" s="25" t="n">
        <f aca="false">IF(A41&gt;=Допущения!$E$35,Допущения!$E$36,0)</f>
        <v>60</v>
      </c>
      <c r="K41" s="25" t="n">
        <f aca="false">H41+I41+J41</f>
        <v>882.222222222222</v>
      </c>
      <c r="L41" s="25" t="n">
        <f aca="false">(L40-K40)*(1-Допущения!$E$44)+K40*(1-Допущения!$E$43)+K41</f>
        <v>10957.8140717672</v>
      </c>
      <c r="M41" s="25" t="n">
        <f aca="false">IF(A41&gt;=Допущения!$E$38,Допущения!$E$73/Допущения!$E$42*MIN(Допущения!$E$42,A41-Допущения!$E$38+1),0)</f>
        <v>120</v>
      </c>
      <c r="N41" s="25" t="n">
        <f aca="false">N40*(1-Допущения!$E$45)+M41</f>
        <v>2659.84570447289</v>
      </c>
      <c r="O41" s="25" t="n">
        <f aca="false">L41+N41</f>
        <v>13617.6597762401</v>
      </c>
      <c r="P41" s="25" t="n">
        <f aca="false">L41*Допущения!$E$25</f>
        <v>3287.34422153015</v>
      </c>
      <c r="Q41" s="25" t="n">
        <f aca="false">L41*(1-Допущения!$E$25)+N41</f>
        <v>10330.3155547099</v>
      </c>
      <c r="R41" s="17" t="n">
        <f aca="false">MAX(Допущения!$E$18,ROUNDUP(Q41/Допущения!$E$68+P41/Допущения!$E$69,0))</f>
        <v>123</v>
      </c>
      <c r="S41" s="17" t="n">
        <f aca="false">ROUNDUP(R41/Допущения!$E$48,0)</f>
        <v>11</v>
      </c>
      <c r="T41" s="17" t="n">
        <f aca="false">L41*F41/(1+Допущения!$E$6)</f>
        <v>31718570.8137065</v>
      </c>
      <c r="U41" s="17" t="n">
        <f aca="false">N41*Допущения!$E$28*E41/(1+Допущения!$E$6)</f>
        <v>4967264.03330452</v>
      </c>
      <c r="V41" s="17" t="n">
        <f aca="false">O41*Допущения!$E$26*Допущения!$E$27/(1+Допущения!$E$6)</f>
        <v>1674302.43150493</v>
      </c>
      <c r="W41" s="17" t="n">
        <f aca="false">T41+U41+V41</f>
        <v>38360137.2785159</v>
      </c>
      <c r="X41" s="17" t="n">
        <f aca="false">J41*Допущения!$E$37</f>
        <v>30000</v>
      </c>
      <c r="Y41" s="17" t="n">
        <f aca="false">(R41*Допущения!$E$47+S41*Допущения!$E$49)*D41*Допущения!$E$9</f>
        <v>13979199.024</v>
      </c>
      <c r="Z41" s="17" t="n">
        <f aca="false">(MAX(0,R41-R40)+R41*Допущения!$E$50/12)*Допущения!$E$51*D41</f>
        <v>496011.6</v>
      </c>
      <c r="AA41" s="17" t="n">
        <f aca="false">O41*(Допущения!$E$53+Допущения!$E$54)+(L41*F41+N41*Допущения!$E$28*E41)*Допущения!$E$13</f>
        <v>5776066.75156799</v>
      </c>
      <c r="AB41" s="17" t="n">
        <f aca="false">(R41+S41)*Допущения!$E$52</f>
        <v>361800</v>
      </c>
      <c r="AC41" s="17" t="n">
        <f aca="false">SUMPRODUCT(Допущения!$B$84:$B$91,Допущения!$C$84:$C$91,--(Допущения!$D$84:$D$91&lt;=A41))*D41*Допущения!$E$9</f>
        <v>2293165.728</v>
      </c>
      <c r="AD41" s="17" t="n">
        <f aca="false">(AC41+Y41)*Допущения!$E$14</f>
        <v>1627236.4752</v>
      </c>
      <c r="AE41" s="17" t="n">
        <f aca="false">Допущения!$E$55+Допущения!$E$56*O41/1000+Допущения!$E$57</f>
        <v>248941.278209921</v>
      </c>
      <c r="AF41" s="17" t="n">
        <f aca="false">SUMIF(Допущения!$B$95:$B$103,A41,Допущения!$C$95:$C$103)</f>
        <v>0</v>
      </c>
      <c r="AG41" s="17" t="n">
        <v>0</v>
      </c>
      <c r="AH41" s="17" t="n">
        <f aca="false">G41+SUM(X41:AG41)</f>
        <v>27312420.8569779</v>
      </c>
      <c r="AI41" s="17" t="n">
        <f aca="false">W41-AH41</f>
        <v>11047716.421538</v>
      </c>
      <c r="AJ41" s="17" t="n">
        <f aca="false">AJ40+AI41</f>
        <v>114217597.297441</v>
      </c>
      <c r="AK41" s="17" t="n">
        <f aca="false">O41*Допущения!$E$58*Допущения!$E$59</f>
        <v>674074.158923884</v>
      </c>
      <c r="AL41" s="17" t="n">
        <f aca="false">T41*Допущения!$E$72</f>
        <v>1599255.67127932</v>
      </c>
      <c r="AM41" s="17" t="n">
        <f aca="false">IF(MOD(A41,12)=0,INDEX($F$70:$F$74,B41),0)</f>
        <v>24499671.7402494</v>
      </c>
      <c r="AN41" s="17" t="n">
        <f aca="false">AI41-AM41</f>
        <v>-13451955.3187114</v>
      </c>
      <c r="AO41" s="26" t="n">
        <f aca="false">1/(1+Допущения!$E$74)^A41</f>
        <v>0.550706887360618</v>
      </c>
      <c r="AP41" s="21" t="n">
        <f aca="false">IF(AND(A41&gt;Допущения!$E$19,MIN(AI41:AI$65)&gt;0),A41,"")</f>
        <v>36</v>
      </c>
      <c r="AQ41" s="21" t="n">
        <f aca="false">IF(MIN(AJ41:AJ$65)&gt;0,A41,"")</f>
        <v>36</v>
      </c>
    </row>
    <row r="42" customFormat="false" ht="15" hidden="false" customHeight="false" outlineLevel="0" collapsed="false">
      <c r="A42" s="28" t="n">
        <v>37</v>
      </c>
      <c r="B42" s="28" t="n">
        <f aca="false">INT((A42-1)/12)+1</f>
        <v>4</v>
      </c>
      <c r="C42" s="12" t="s">
        <v>462</v>
      </c>
      <c r="D42" s="15" t="n">
        <f aca="false">(1+Допущения!$E$11)^(B42-1)</f>
        <v>1.259712</v>
      </c>
      <c r="E42" s="15" t="n">
        <f aca="false">(1+Допущения!$E$12)^(B42-1)</f>
        <v>1.225043</v>
      </c>
      <c r="F42" s="17" t="n">
        <f aca="false">Допущения!$E$71*E42</f>
        <v>3778.62063264</v>
      </c>
      <c r="G42" s="17" t="n">
        <f aca="false">MIN(G41*(1+Допущения!$E$33),Допущения!$E$34)</f>
        <v>2500000</v>
      </c>
      <c r="H42" s="25" t="n">
        <f aca="false">MIN(Допущения!$E$30,G42/Допущения!$E$29)</f>
        <v>400</v>
      </c>
      <c r="I42" s="25" t="n">
        <f aca="false">MAX(0,G42-H42*Допущения!$E$29)/Допущения!$E$31</f>
        <v>422.222222222222</v>
      </c>
      <c r="J42" s="25" t="n">
        <f aca="false">IF(A42&gt;=Допущения!$E$35,Допущения!$E$36,0)</f>
        <v>60</v>
      </c>
      <c r="K42" s="25" t="n">
        <f aca="false">H42+I42+J42</f>
        <v>882.222222222222</v>
      </c>
      <c r="L42" s="25" t="n">
        <f aca="false">(L41-K41)*(1-Допущения!$E$44)+K41*(1-Допущения!$E$43)+K42</f>
        <v>11227.8346607599</v>
      </c>
      <c r="M42" s="25" t="n">
        <f aca="false">IF(A42&gt;=Допущения!$E$38,Допущения!$E$73/Допущения!$E$42*MIN(Допущения!$E$42,A42-Допущения!$E$38+1),0)</f>
        <v>120</v>
      </c>
      <c r="N42" s="25" t="n">
        <f aca="false">N41*(1-Допущения!$E$45)+M42</f>
        <v>2726.64879038343</v>
      </c>
      <c r="O42" s="25" t="n">
        <f aca="false">L42+N42</f>
        <v>13954.4834511433</v>
      </c>
      <c r="P42" s="25" t="n">
        <f aca="false">L42*Допущения!$E$25</f>
        <v>3368.35039822796</v>
      </c>
      <c r="Q42" s="25" t="n">
        <f aca="false">L42*(1-Допущения!$E$25)+N42</f>
        <v>10586.1330529153</v>
      </c>
      <c r="R42" s="17" t="n">
        <f aca="false">MAX(Допущения!$E$18,ROUNDUP(Q42/Допущения!$E$68+P42/Допущения!$E$69,0))</f>
        <v>126</v>
      </c>
      <c r="S42" s="17" t="n">
        <f aca="false">ROUNDUP(R42/Допущения!$E$48,0)</f>
        <v>11</v>
      </c>
      <c r="T42" s="17" t="n">
        <f aca="false">L42*F42/(1+Допущения!$E$6)</f>
        <v>34775186.6467359</v>
      </c>
      <c r="U42" s="17" t="n">
        <f aca="false">N42*Допущения!$E$28*E42/(1+Допущения!$E$6)</f>
        <v>5448460.17056902</v>
      </c>
      <c r="V42" s="17" t="n">
        <f aca="false">O42*Допущения!$E$26*Допущения!$E$27/(1+Допущения!$E$6)</f>
        <v>1715715.17841926</v>
      </c>
      <c r="W42" s="17" t="n">
        <f aca="false">T42+U42+V42</f>
        <v>41939361.9957242</v>
      </c>
      <c r="X42" s="17" t="n">
        <f aca="false">J42*Допущения!$E$37</f>
        <v>30000</v>
      </c>
      <c r="Y42" s="17" t="n">
        <f aca="false">(R42*Допущения!$E$47+S42*Допущения!$E$49)*D42*Допущения!$E$9</f>
        <v>15417363.2256</v>
      </c>
      <c r="Z42" s="17" t="n">
        <f aca="false">(MAX(0,R42-R41)+R42*Допущения!$E$50/12)*Допущения!$E$51*D42</f>
        <v>542306.016</v>
      </c>
      <c r="AA42" s="17" t="n">
        <f aca="false">O42*(Допущения!$E$53+Допущения!$E$54)+(L42*F42+N42*Допущения!$E$28*E42)*Допущения!$E$13</f>
        <v>5976697.74377533</v>
      </c>
      <c r="AB42" s="17" t="n">
        <f aca="false">(R42+S42)*Допущения!$E$52</f>
        <v>369900</v>
      </c>
      <c r="AC42" s="17" t="n">
        <f aca="false">SUMPRODUCT(Допущения!$B$84:$B$91,Допущения!$C$84:$C$91,--(Допущения!$D$84:$D$91&lt;=A42))*D42*Допущения!$E$9</f>
        <v>2476618.98624</v>
      </c>
      <c r="AD42" s="17" t="n">
        <f aca="false">(AC42+Y42)*Допущения!$E$14</f>
        <v>1789398.221184</v>
      </c>
      <c r="AE42" s="17" t="n">
        <f aca="false">Допущения!$E$55+Допущения!$E$56*O42/1000+Допущения!$E$57</f>
        <v>251635.867609147</v>
      </c>
      <c r="AF42" s="17" t="n">
        <f aca="false">SUMIF(Допущения!$B$95:$B$103,A42,Допущения!$C$95:$C$103)</f>
        <v>0</v>
      </c>
      <c r="AG42" s="17" t="n">
        <v>0</v>
      </c>
      <c r="AH42" s="17" t="n">
        <f aca="false">G42+SUM(X42:AG42)</f>
        <v>29353920.0604085</v>
      </c>
      <c r="AI42" s="17" t="n">
        <f aca="false">W42-AH42</f>
        <v>12585441.9353157</v>
      </c>
      <c r="AJ42" s="17" t="n">
        <f aca="false">AJ41+AI42</f>
        <v>126803039.232757</v>
      </c>
      <c r="AK42" s="17" t="n">
        <f aca="false">O42*Допущения!$E$58*Допущения!$E$59</f>
        <v>690746.930831594</v>
      </c>
      <c r="AL42" s="17" t="n">
        <f aca="false">T42*Допущения!$E$72</f>
        <v>1753370.75529761</v>
      </c>
      <c r="AM42" s="17" t="n">
        <f aca="false">IF(MOD(A42,12)=0,INDEX($F$70:$F$74,B42),0)</f>
        <v>0</v>
      </c>
      <c r="AN42" s="17" t="n">
        <f aca="false">AI42-AM42</f>
        <v>12585441.9353157</v>
      </c>
      <c r="AO42" s="26" t="n">
        <f aca="false">1/(1+Допущения!$E$74)^A42</f>
        <v>0.541656370632077</v>
      </c>
      <c r="AP42" s="21" t="n">
        <f aca="false">IF(AND(A42&gt;Допущения!$E$19,MIN(AI42:AI$65)&gt;0),A42,"")</f>
        <v>37</v>
      </c>
      <c r="AQ42" s="21" t="n">
        <f aca="false">IF(MIN(AJ42:AJ$65)&gt;0,A42,"")</f>
        <v>37</v>
      </c>
    </row>
    <row r="43" customFormat="false" ht="15" hidden="false" customHeight="false" outlineLevel="0" collapsed="false">
      <c r="A43" s="28" t="n">
        <v>38</v>
      </c>
      <c r="B43" s="28" t="n">
        <f aca="false">INT((A43-1)/12)+1</f>
        <v>4</v>
      </c>
      <c r="C43" s="12" t="s">
        <v>462</v>
      </c>
      <c r="D43" s="15" t="n">
        <f aca="false">(1+Допущения!$E$11)^(B43-1)</f>
        <v>1.259712</v>
      </c>
      <c r="E43" s="15" t="n">
        <f aca="false">(1+Допущения!$E$12)^(B43-1)</f>
        <v>1.225043</v>
      </c>
      <c r="F43" s="17" t="n">
        <f aca="false">Допущения!$E$71*E43</f>
        <v>3778.62063264</v>
      </c>
      <c r="G43" s="17" t="n">
        <f aca="false">MIN(G42*(1+Допущения!$E$33),Допущения!$E$34)</f>
        <v>2500000</v>
      </c>
      <c r="H43" s="25" t="n">
        <f aca="false">MIN(Допущения!$E$30,G43/Допущения!$E$29)</f>
        <v>400</v>
      </c>
      <c r="I43" s="25" t="n">
        <f aca="false">MAX(0,G43-H43*Допущения!$E$29)/Допущения!$E$31</f>
        <v>422.222222222222</v>
      </c>
      <c r="J43" s="25" t="n">
        <f aca="false">IF(A43&gt;=Допущения!$E$35,Допущения!$E$36,0)</f>
        <v>60</v>
      </c>
      <c r="K43" s="25" t="n">
        <f aca="false">H43+I43+J43</f>
        <v>882.222222222222</v>
      </c>
      <c r="L43" s="25" t="n">
        <f aca="false">(L42-K42)*(1-Допущения!$E$44)+K42*(1-Допущения!$E$43)+K43</f>
        <v>11485.7043232479</v>
      </c>
      <c r="M43" s="25" t="n">
        <f aca="false">IF(A43&gt;=Допущения!$E$38,Допущения!$E$73/Допущения!$E$42*MIN(Допущения!$E$42,A43-Допущения!$E$38+1),0)</f>
        <v>120</v>
      </c>
      <c r="N43" s="25" t="n">
        <f aca="false">N42*(1-Допущения!$E$45)+M43</f>
        <v>2792.11581457576</v>
      </c>
      <c r="O43" s="25" t="n">
        <f aca="false">L43+N43</f>
        <v>14277.8201378237</v>
      </c>
      <c r="P43" s="25" t="n">
        <f aca="false">L43*Допущения!$E$25</f>
        <v>3445.71129697437</v>
      </c>
      <c r="Q43" s="25" t="n">
        <f aca="false">L43*(1-Допущения!$E$25)+N43</f>
        <v>10832.1088408493</v>
      </c>
      <c r="R43" s="17" t="n">
        <f aca="false">MAX(Допущения!$E$18,ROUNDUP(Q43/Допущения!$E$68+P43/Допущения!$E$69,0))</f>
        <v>129</v>
      </c>
      <c r="S43" s="17" t="n">
        <f aca="false">ROUNDUP(R43/Допущения!$E$48,0)</f>
        <v>11</v>
      </c>
      <c r="T43" s="17" t="n">
        <f aca="false">L43*F43/(1+Допущения!$E$6)</f>
        <v>35573868.3083828</v>
      </c>
      <c r="U43" s="17" t="n">
        <f aca="false">N43*Допущения!$E$28*E43/(1+Допущения!$E$6)</f>
        <v>5579278.07240354</v>
      </c>
      <c r="V43" s="17" t="n">
        <f aca="false">O43*Допущения!$E$26*Допущения!$E$27/(1+Допущения!$E$6)</f>
        <v>1755469.68907668</v>
      </c>
      <c r="W43" s="17" t="n">
        <f aca="false">T43+U43+V43</f>
        <v>42908616.069863</v>
      </c>
      <c r="X43" s="17" t="n">
        <f aca="false">J43*Допущения!$E$37</f>
        <v>30000</v>
      </c>
      <c r="Y43" s="17" t="n">
        <f aca="false">(R43*Допущения!$E$47+S43*Допущения!$E$49)*D43*Допущения!$E$9</f>
        <v>15737191.50528</v>
      </c>
      <c r="Z43" s="17" t="n">
        <f aca="false">(MAX(0,R43-R42)+R43*Допущения!$E$50/12)*Допущения!$E$51*D43</f>
        <v>548919.504</v>
      </c>
      <c r="AA43" s="17" t="n">
        <f aca="false">O43*(Допущения!$E$53+Допущения!$E$54)+(L43*F43+N43*Допущения!$E$28*E43)*Допущения!$E$13</f>
        <v>6115127.44482771</v>
      </c>
      <c r="AB43" s="17" t="n">
        <f aca="false">(R43+S43)*Допущения!$E$52</f>
        <v>378000</v>
      </c>
      <c r="AC43" s="17" t="n">
        <f aca="false">SUMPRODUCT(Допущения!$B$84:$B$91,Допущения!$C$84:$C$91,--(Допущения!$D$84:$D$91&lt;=A43))*D43*Допущения!$E$9</f>
        <v>2476618.98624</v>
      </c>
      <c r="AD43" s="17" t="n">
        <f aca="false">(AC43+Y43)*Допущения!$E$14</f>
        <v>1821381.049152</v>
      </c>
      <c r="AE43" s="17" t="n">
        <f aca="false">Допущения!$E$55+Допущения!$E$56*O43/1000+Допущения!$E$57</f>
        <v>254222.561102589</v>
      </c>
      <c r="AF43" s="17" t="n">
        <f aca="false">SUMIF(Допущения!$B$95:$B$103,A43,Допущения!$C$95:$C$103)</f>
        <v>0</v>
      </c>
      <c r="AG43" s="17" t="n">
        <v>0</v>
      </c>
      <c r="AH43" s="17" t="n">
        <f aca="false">G43+SUM(X43:AG43)</f>
        <v>29861461.0506023</v>
      </c>
      <c r="AI43" s="17" t="n">
        <f aca="false">W43-AH43</f>
        <v>13047155.0192607</v>
      </c>
      <c r="AJ43" s="17" t="n">
        <f aca="false">AJ42+AI43</f>
        <v>139850194.252017</v>
      </c>
      <c r="AK43" s="17" t="n">
        <f aca="false">O43*Допущения!$E$58*Допущения!$E$59</f>
        <v>706752.096822272</v>
      </c>
      <c r="AL43" s="17" t="n">
        <f aca="false">T43*Допущения!$E$72</f>
        <v>1793640.41891006</v>
      </c>
      <c r="AM43" s="17" t="n">
        <f aca="false">IF(MOD(A43,12)=0,INDEX($F$70:$F$74,B43),0)</f>
        <v>0</v>
      </c>
      <c r="AN43" s="17" t="n">
        <f aca="false">AI43-AM43</f>
        <v>13047155.0192607</v>
      </c>
      <c r="AO43" s="26" t="n">
        <f aca="false">1/(1+Допущения!$E$74)^A43</f>
        <v>0.53275459337808</v>
      </c>
      <c r="AP43" s="21" t="n">
        <f aca="false">IF(AND(A43&gt;Допущения!$E$19,MIN(AI43:AI$65)&gt;0),A43,"")</f>
        <v>38</v>
      </c>
      <c r="AQ43" s="21" t="n">
        <f aca="false">IF(MIN(AJ43:AJ$65)&gt;0,A43,"")</f>
        <v>38</v>
      </c>
    </row>
    <row r="44" customFormat="false" ht="15" hidden="false" customHeight="false" outlineLevel="0" collapsed="false">
      <c r="A44" s="28" t="n">
        <v>39</v>
      </c>
      <c r="B44" s="28" t="n">
        <f aca="false">INT((A44-1)/12)+1</f>
        <v>4</v>
      </c>
      <c r="C44" s="12" t="s">
        <v>462</v>
      </c>
      <c r="D44" s="15" t="n">
        <f aca="false">(1+Допущения!$E$11)^(B44-1)</f>
        <v>1.259712</v>
      </c>
      <c r="E44" s="15" t="n">
        <f aca="false">(1+Допущения!$E$12)^(B44-1)</f>
        <v>1.225043</v>
      </c>
      <c r="F44" s="17" t="n">
        <f aca="false">Допущения!$E$71*E44</f>
        <v>3778.62063264</v>
      </c>
      <c r="G44" s="17" t="n">
        <f aca="false">MIN(G43*(1+Допущения!$E$33),Допущения!$E$34)</f>
        <v>2500000</v>
      </c>
      <c r="H44" s="25" t="n">
        <f aca="false">MIN(Допущения!$E$30,G44/Допущения!$E$29)</f>
        <v>400</v>
      </c>
      <c r="I44" s="25" t="n">
        <f aca="false">MAX(0,G44-H44*Допущения!$E$29)/Допущения!$E$31</f>
        <v>422.222222222222</v>
      </c>
      <c r="J44" s="25" t="n">
        <f aca="false">IF(A44&gt;=Допущения!$E$35,Допущения!$E$36,0)</f>
        <v>60</v>
      </c>
      <c r="K44" s="25" t="n">
        <f aca="false">H44+I44+J44</f>
        <v>882.222222222222</v>
      </c>
      <c r="L44" s="25" t="n">
        <f aca="false">(L43-K43)*(1-Допущения!$E$44)+K43*(1-Допущения!$E$43)+K44</f>
        <v>11731.969850924</v>
      </c>
      <c r="M44" s="25" t="n">
        <f aca="false">IF(A44&gt;=Допущения!$E$38,Допущения!$E$73/Допущения!$E$42*MIN(Допущения!$E$42,A44-Допущения!$E$38+1),0)</f>
        <v>120</v>
      </c>
      <c r="N44" s="25" t="n">
        <f aca="false">N43*(1-Допущения!$E$45)+M44</f>
        <v>2856.27349828425</v>
      </c>
      <c r="O44" s="25" t="n">
        <f aca="false">L44+N44</f>
        <v>14588.2433492082</v>
      </c>
      <c r="P44" s="25" t="n">
        <f aca="false">L44*Допущения!$E$25</f>
        <v>3519.59095527719</v>
      </c>
      <c r="Q44" s="25" t="n">
        <f aca="false">L44*(1-Допущения!$E$25)+N44</f>
        <v>11068.652393931</v>
      </c>
      <c r="R44" s="17" t="n">
        <f aca="false">MAX(Допущения!$E$18,ROUNDUP(Q44/Допущения!$E$68+P44/Допущения!$E$69,0))</f>
        <v>132</v>
      </c>
      <c r="S44" s="17" t="n">
        <f aca="false">ROUNDUP(R44/Допущения!$E$48,0)</f>
        <v>11</v>
      </c>
      <c r="T44" s="17" t="n">
        <f aca="false">L44*F44/(1+Допущения!$E$6)</f>
        <v>36336609.2952555</v>
      </c>
      <c r="U44" s="17" t="n">
        <f aca="false">N44*Допущения!$E$28*E44/(1+Допущения!$E$6)</f>
        <v>5707479.61620137</v>
      </c>
      <c r="V44" s="17" t="n">
        <f aca="false">O44*Допущения!$E$26*Допущения!$E$27/(1+Допущения!$E$6)</f>
        <v>1793636.47736167</v>
      </c>
      <c r="W44" s="17" t="n">
        <f aca="false">T44+U44+V44</f>
        <v>43837725.3888186</v>
      </c>
      <c r="X44" s="17" t="n">
        <f aca="false">J44*Допущения!$E$37</f>
        <v>30000</v>
      </c>
      <c r="Y44" s="17" t="n">
        <f aca="false">(R44*Допущения!$E$47+S44*Допущения!$E$49)*D44*Допущения!$E$9</f>
        <v>16057019.78496</v>
      </c>
      <c r="Z44" s="17" t="n">
        <f aca="false">(MAX(0,R44-R43)+R44*Допущения!$E$50/12)*Допущения!$E$51*D44</f>
        <v>555532.992</v>
      </c>
      <c r="AA44" s="17" t="n">
        <f aca="false">O44*(Допущения!$E$53+Допущения!$E$54)+(L44*F44+N44*Допущения!$E$28*E44)*Допущения!$E$13</f>
        <v>6247997.01495659</v>
      </c>
      <c r="AB44" s="17" t="n">
        <f aca="false">(R44+S44)*Допущения!$E$52</f>
        <v>386100</v>
      </c>
      <c r="AC44" s="17" t="n">
        <f aca="false">SUMPRODUCT(Допущения!$B$84:$B$91,Допущения!$C$84:$C$91,--(Допущения!$D$84:$D$91&lt;=A44))*D44*Допущения!$E$9</f>
        <v>2476618.98624</v>
      </c>
      <c r="AD44" s="17" t="n">
        <f aca="false">(AC44+Y44)*Допущения!$E$14</f>
        <v>1853363.87712</v>
      </c>
      <c r="AE44" s="17" t="n">
        <f aca="false">Допущения!$E$55+Допущения!$E$56*O44/1000+Допущения!$E$57</f>
        <v>256705.946793666</v>
      </c>
      <c r="AF44" s="17" t="n">
        <f aca="false">SUMIF(Допущения!$B$95:$B$103,A44,Допущения!$C$95:$C$103)</f>
        <v>0</v>
      </c>
      <c r="AG44" s="17" t="n">
        <v>0</v>
      </c>
      <c r="AH44" s="17" t="n">
        <f aca="false">G44+SUM(X44:AG44)</f>
        <v>30363338.6020703</v>
      </c>
      <c r="AI44" s="17" t="n">
        <f aca="false">W44-AH44</f>
        <v>13474386.7867483</v>
      </c>
      <c r="AJ44" s="17" t="n">
        <f aca="false">AJ43+AI44</f>
        <v>153324581.038766</v>
      </c>
      <c r="AK44" s="17" t="n">
        <f aca="false">O44*Допущения!$E$58*Допущения!$E$59</f>
        <v>722118.045785807</v>
      </c>
      <c r="AL44" s="17" t="n">
        <f aca="false">T44*Допущения!$E$72</f>
        <v>1832097.94765994</v>
      </c>
      <c r="AM44" s="17" t="n">
        <f aca="false">IF(MOD(A44,12)=0,INDEX($F$70:$F$74,B44),0)</f>
        <v>0</v>
      </c>
      <c r="AN44" s="17" t="n">
        <f aca="false">AI44-AM44</f>
        <v>13474386.7867483</v>
      </c>
      <c r="AO44" s="26" t="n">
        <f aca="false">1/(1+Допущения!$E$74)^A44</f>
        <v>0.523999111160154</v>
      </c>
      <c r="AP44" s="21" t="n">
        <f aca="false">IF(AND(A44&gt;Допущения!$E$19,MIN(AI44:AI$65)&gt;0),A44,"")</f>
        <v>39</v>
      </c>
      <c r="AQ44" s="21" t="n">
        <f aca="false">IF(MIN(AJ44:AJ$65)&gt;0,A44,"")</f>
        <v>39</v>
      </c>
    </row>
    <row r="45" customFormat="false" ht="15" hidden="false" customHeight="false" outlineLevel="0" collapsed="false">
      <c r="A45" s="28" t="n">
        <v>40</v>
      </c>
      <c r="B45" s="28" t="n">
        <f aca="false">INT((A45-1)/12)+1</f>
        <v>4</v>
      </c>
      <c r="C45" s="12" t="s">
        <v>462</v>
      </c>
      <c r="D45" s="15" t="n">
        <f aca="false">(1+Допущения!$E$11)^(B45-1)</f>
        <v>1.259712</v>
      </c>
      <c r="E45" s="15" t="n">
        <f aca="false">(1+Допущения!$E$12)^(B45-1)</f>
        <v>1.225043</v>
      </c>
      <c r="F45" s="17" t="n">
        <f aca="false">Допущения!$E$71*E45</f>
        <v>3778.62063264</v>
      </c>
      <c r="G45" s="17" t="n">
        <f aca="false">MIN(G44*(1+Допущения!$E$33),Допущения!$E$34)</f>
        <v>2500000</v>
      </c>
      <c r="H45" s="25" t="n">
        <f aca="false">MIN(Допущения!$E$30,G45/Допущения!$E$29)</f>
        <v>400</v>
      </c>
      <c r="I45" s="25" t="n">
        <f aca="false">MAX(0,G45-H45*Допущения!$E$29)/Допущения!$E$31</f>
        <v>422.222222222222</v>
      </c>
      <c r="J45" s="25" t="n">
        <f aca="false">IF(A45&gt;=Допущения!$E$35,Допущения!$E$36,0)</f>
        <v>60</v>
      </c>
      <c r="K45" s="25" t="n">
        <f aca="false">H45+I45+J45</f>
        <v>882.222222222222</v>
      </c>
      <c r="L45" s="25" t="n">
        <f aca="false">(L44-K44)*(1-Допущения!$E$44)+K44*(1-Допущения!$E$43)+K45</f>
        <v>11967.1534298546</v>
      </c>
      <c r="M45" s="25" t="n">
        <f aca="false">IF(A45&gt;=Допущения!$E$38,Допущения!$E$73/Допущения!$E$42*MIN(Допущения!$E$42,A45-Допущения!$E$38+1),0)</f>
        <v>120</v>
      </c>
      <c r="N45" s="25" t="n">
        <f aca="false">N44*(1-Допущения!$E$45)+M45</f>
        <v>2919.14802831856</v>
      </c>
      <c r="O45" s="25" t="n">
        <f aca="false">L45+N45</f>
        <v>14886.3014581732</v>
      </c>
      <c r="P45" s="25" t="n">
        <f aca="false">L45*Допущения!$E$25</f>
        <v>3590.14602895638</v>
      </c>
      <c r="Q45" s="25" t="n">
        <f aca="false">L45*(1-Допущения!$E$25)+N45</f>
        <v>11296.1554292168</v>
      </c>
      <c r="R45" s="17" t="n">
        <f aca="false">MAX(Допущения!$E$18,ROUNDUP(Q45/Допущения!$E$68+P45/Допущения!$E$69,0))</f>
        <v>135</v>
      </c>
      <c r="S45" s="17" t="n">
        <f aca="false">ROUNDUP(R45/Допущения!$E$48,0)</f>
        <v>12</v>
      </c>
      <c r="T45" s="17" t="n">
        <f aca="false">L45*F45/(1+Допущения!$E$6)</f>
        <v>37065026.937719</v>
      </c>
      <c r="U45" s="17" t="n">
        <f aca="false">N45*Допущения!$E$28*E45/(1+Допущения!$E$6)</f>
        <v>5833117.12912325</v>
      </c>
      <c r="V45" s="17" t="n">
        <f aca="false">O45*Допущения!$E$26*Допущения!$E$27/(1+Допущения!$E$6)</f>
        <v>1830282.96616883</v>
      </c>
      <c r="W45" s="17" t="n">
        <f aca="false">T45+U45+V45</f>
        <v>44728427.0330111</v>
      </c>
      <c r="X45" s="17" t="n">
        <f aca="false">J45*Допущения!$E$37</f>
        <v>30000</v>
      </c>
      <c r="Y45" s="17" t="n">
        <f aca="false">(R45*Допущения!$E$47+S45*Допущения!$E$49)*D45*Допущения!$E$9</f>
        <v>16557264.01728</v>
      </c>
      <c r="Z45" s="17" t="n">
        <f aca="false">(MAX(0,R45-R44)+R45*Допущения!$E$50/12)*Допущения!$E$51*D45</f>
        <v>562146.48</v>
      </c>
      <c r="AA45" s="17" t="n">
        <f aca="false">O45*(Допущения!$E$53+Допущения!$E$54)+(L45*F45+N45*Допущения!$E$28*E45)*Допущения!$E$13</f>
        <v>6375543.27594107</v>
      </c>
      <c r="AB45" s="17" t="n">
        <f aca="false">(R45+S45)*Допущения!$E$52</f>
        <v>396900</v>
      </c>
      <c r="AC45" s="17" t="n">
        <f aca="false">SUMPRODUCT(Допущения!$B$84:$B$91,Допущения!$C$84:$C$91,--(Допущения!$D$84:$D$91&lt;=A45))*D45*Допущения!$E$9</f>
        <v>2476618.98624</v>
      </c>
      <c r="AD45" s="17" t="n">
        <f aca="false">(AC45+Y45)*Допущения!$E$14</f>
        <v>1903388.300352</v>
      </c>
      <c r="AE45" s="17" t="n">
        <f aca="false">Допущения!$E$55+Допущения!$E$56*O45/1000+Допущения!$E$57</f>
        <v>259090.411665385</v>
      </c>
      <c r="AF45" s="17" t="n">
        <f aca="false">SUMIF(Допущения!$B$95:$B$103,A45,Допущения!$C$95:$C$103)</f>
        <v>0</v>
      </c>
      <c r="AG45" s="17" t="n">
        <v>0</v>
      </c>
      <c r="AH45" s="17" t="n">
        <f aca="false">G45+SUM(X45:AG45)</f>
        <v>31060951.4714785</v>
      </c>
      <c r="AI45" s="17" t="n">
        <f aca="false">W45-AH45</f>
        <v>13667475.5615326</v>
      </c>
      <c r="AJ45" s="17" t="n">
        <f aca="false">AJ44+AI45</f>
        <v>166992056.600298</v>
      </c>
      <c r="AK45" s="17" t="n">
        <f aca="false">O45*Допущения!$E$58*Допущения!$E$59</f>
        <v>736871.922179572</v>
      </c>
      <c r="AL45" s="17" t="n">
        <f aca="false">T45*Допущения!$E$72</f>
        <v>1868824.88761609</v>
      </c>
      <c r="AM45" s="17" t="n">
        <f aca="false">IF(MOD(A45,12)=0,INDEX($F$70:$F$74,B45),0)</f>
        <v>0</v>
      </c>
      <c r="AN45" s="17" t="n">
        <f aca="false">AI45-AM45</f>
        <v>13667475.5615326</v>
      </c>
      <c r="AO45" s="26" t="n">
        <f aca="false">1/(1+Допущения!$E$74)^A45</f>
        <v>0.515387519712614</v>
      </c>
      <c r="AP45" s="21" t="n">
        <f aca="false">IF(AND(A45&gt;Допущения!$E$19,MIN(AI45:AI$65)&gt;0),A45,"")</f>
        <v>40</v>
      </c>
      <c r="AQ45" s="21" t="n">
        <f aca="false">IF(MIN(AJ45:AJ$65)&gt;0,A45,"")</f>
        <v>40</v>
      </c>
    </row>
    <row r="46" customFormat="false" ht="15" hidden="false" customHeight="false" outlineLevel="0" collapsed="false">
      <c r="A46" s="28" t="n">
        <v>41</v>
      </c>
      <c r="B46" s="28" t="n">
        <f aca="false">INT((A46-1)/12)+1</f>
        <v>4</v>
      </c>
      <c r="C46" s="12" t="s">
        <v>462</v>
      </c>
      <c r="D46" s="15" t="n">
        <f aca="false">(1+Допущения!$E$11)^(B46-1)</f>
        <v>1.259712</v>
      </c>
      <c r="E46" s="15" t="n">
        <f aca="false">(1+Допущения!$E$12)^(B46-1)</f>
        <v>1.225043</v>
      </c>
      <c r="F46" s="17" t="n">
        <f aca="false">Допущения!$E$71*E46</f>
        <v>3778.62063264</v>
      </c>
      <c r="G46" s="17" t="n">
        <f aca="false">MIN(G45*(1+Допущения!$E$33),Допущения!$E$34)</f>
        <v>2500000</v>
      </c>
      <c r="H46" s="25" t="n">
        <f aca="false">MIN(Допущения!$E$30,G46/Допущения!$E$29)</f>
        <v>400</v>
      </c>
      <c r="I46" s="25" t="n">
        <f aca="false">MAX(0,G46-H46*Допущения!$E$29)/Допущения!$E$31</f>
        <v>422.222222222222</v>
      </c>
      <c r="J46" s="25" t="n">
        <f aca="false">IF(A46&gt;=Допущения!$E$35,Допущения!$E$36,0)</f>
        <v>60</v>
      </c>
      <c r="K46" s="25" t="n">
        <f aca="false">H46+I46+J46</f>
        <v>882.222222222222</v>
      </c>
      <c r="L46" s="25" t="n">
        <f aca="false">(L45-K45)*(1-Допущения!$E$44)+K45*(1-Допущения!$E$43)+K46</f>
        <v>12191.7537477334</v>
      </c>
      <c r="M46" s="25" t="n">
        <f aca="false">IF(A46&gt;=Допущения!$E$38,Допущения!$E$73/Допущения!$E$42*MIN(Допущения!$E$42,A46-Допущения!$E$38+1),0)</f>
        <v>120</v>
      </c>
      <c r="N46" s="25" t="n">
        <f aca="false">N45*(1-Допущения!$E$45)+M46</f>
        <v>2980.76506775219</v>
      </c>
      <c r="O46" s="25" t="n">
        <f aca="false">L46+N46</f>
        <v>15172.5188154856</v>
      </c>
      <c r="P46" s="25" t="n">
        <f aca="false">L46*Допущения!$E$25</f>
        <v>3657.52612432001</v>
      </c>
      <c r="Q46" s="25" t="n">
        <f aca="false">L46*(1-Допущения!$E$25)+N46</f>
        <v>11514.9926911656</v>
      </c>
      <c r="R46" s="17" t="n">
        <f aca="false">MAX(Допущения!$E$18,ROUNDUP(Q46/Допущения!$E$68+P46/Допущения!$E$69,0))</f>
        <v>137</v>
      </c>
      <c r="S46" s="17" t="n">
        <f aca="false">ROUNDUP(R46/Допущения!$E$48,0)</f>
        <v>12</v>
      </c>
      <c r="T46" s="17" t="n">
        <f aca="false">L46*F46/(1+Допущения!$E$6)</f>
        <v>37760665.7862716</v>
      </c>
      <c r="U46" s="17" t="n">
        <f aca="false">N46*Допущения!$E$28*E46/(1+Допущения!$E$6)</f>
        <v>5956241.89178668</v>
      </c>
      <c r="V46" s="17" t="n">
        <f aca="false">O46*Допущения!$E$26*Допущения!$E$27/(1+Допущения!$E$6)</f>
        <v>1865473.62485478</v>
      </c>
      <c r="W46" s="17" t="n">
        <f aca="false">T46+U46+V46</f>
        <v>45582381.3029131</v>
      </c>
      <c r="X46" s="17" t="n">
        <f aca="false">J46*Допущения!$E$37</f>
        <v>30000</v>
      </c>
      <c r="Y46" s="17" t="n">
        <f aca="false">(R46*Допущения!$E$47+S46*Допущения!$E$49)*D46*Допущения!$E$9</f>
        <v>16770482.8704</v>
      </c>
      <c r="Z46" s="17" t="n">
        <f aca="false">(MAX(0,R46-R45)+R46*Допущения!$E$50/12)*Допущения!$E$51*D46</f>
        <v>478375.632</v>
      </c>
      <c r="AA46" s="17" t="n">
        <f aca="false">O46*(Допущения!$E$53+Допущения!$E$54)+(L46*F46+N46*Допущения!$E$28*E46)*Допущения!$E$13</f>
        <v>6497992.66026239</v>
      </c>
      <c r="AB46" s="17" t="n">
        <f aca="false">(R46+S46)*Допущения!$E$52</f>
        <v>402300</v>
      </c>
      <c r="AC46" s="17" t="n">
        <f aca="false">SUMPRODUCT(Допущения!$B$84:$B$91,Допущения!$C$84:$C$91,--(Допущения!$D$84:$D$91&lt;=A46))*D46*Допущения!$E$9</f>
        <v>2476618.98624</v>
      </c>
      <c r="AD46" s="17" t="n">
        <f aca="false">(AC46+Y46)*Допущения!$E$14</f>
        <v>1924710.185664</v>
      </c>
      <c r="AE46" s="17" t="n">
        <f aca="false">Допущения!$E$55+Допущения!$E$56*O46/1000+Допущения!$E$57</f>
        <v>261380.150523885</v>
      </c>
      <c r="AF46" s="17" t="n">
        <f aca="false">SUMIF(Допущения!$B$95:$B$103,A46,Допущения!$C$95:$C$103)</f>
        <v>0</v>
      </c>
      <c r="AG46" s="17" t="n">
        <v>0</v>
      </c>
      <c r="AH46" s="17" t="n">
        <f aca="false">G46+SUM(X46:AG46)</f>
        <v>31341860.4850903</v>
      </c>
      <c r="AI46" s="17" t="n">
        <f aca="false">W46-AH46</f>
        <v>14240520.8178228</v>
      </c>
      <c r="AJ46" s="17" t="n">
        <f aca="false">AJ45+AI46</f>
        <v>181232577.418121</v>
      </c>
      <c r="AK46" s="17" t="n">
        <f aca="false">O46*Допущения!$E$58*Допущения!$E$59</f>
        <v>751039.681366536</v>
      </c>
      <c r="AL46" s="17" t="n">
        <f aca="false">T46*Допущения!$E$72</f>
        <v>1903899.1152742</v>
      </c>
      <c r="AM46" s="17" t="n">
        <f aca="false">IF(MOD(A46,12)=0,INDEX($F$70:$F$74,B46),0)</f>
        <v>0</v>
      </c>
      <c r="AN46" s="17" t="n">
        <f aca="false">AI46-AM46</f>
        <v>14240520.8178228</v>
      </c>
      <c r="AO46" s="26" t="n">
        <f aca="false">1/(1+Допущения!$E$74)^A46</f>
        <v>0.506917454282353</v>
      </c>
      <c r="AP46" s="21" t="n">
        <f aca="false">IF(AND(A46&gt;Допущения!$E$19,MIN(AI46:AI$65)&gt;0),A46,"")</f>
        <v>41</v>
      </c>
      <c r="AQ46" s="21" t="n">
        <f aca="false">IF(MIN(AJ46:AJ$65)&gt;0,A46,"")</f>
        <v>41</v>
      </c>
    </row>
    <row r="47" customFormat="false" ht="15" hidden="false" customHeight="false" outlineLevel="0" collapsed="false">
      <c r="A47" s="28" t="n">
        <v>42</v>
      </c>
      <c r="B47" s="28" t="n">
        <f aca="false">INT((A47-1)/12)+1</f>
        <v>4</v>
      </c>
      <c r="C47" s="12" t="s">
        <v>462</v>
      </c>
      <c r="D47" s="15" t="n">
        <f aca="false">(1+Допущения!$E$11)^(B47-1)</f>
        <v>1.259712</v>
      </c>
      <c r="E47" s="15" t="n">
        <f aca="false">(1+Допущения!$E$12)^(B47-1)</f>
        <v>1.225043</v>
      </c>
      <c r="F47" s="17" t="n">
        <f aca="false">Допущения!$E$71*E47</f>
        <v>3778.62063264</v>
      </c>
      <c r="G47" s="17" t="n">
        <f aca="false">MIN(G46*(1+Допущения!$E$33),Допущения!$E$34)</f>
        <v>2500000</v>
      </c>
      <c r="H47" s="25" t="n">
        <f aca="false">MIN(Допущения!$E$30,G47/Допущения!$E$29)</f>
        <v>400</v>
      </c>
      <c r="I47" s="25" t="n">
        <f aca="false">MAX(0,G47-H47*Допущения!$E$29)/Допущения!$E$31</f>
        <v>422.222222222222</v>
      </c>
      <c r="J47" s="25" t="n">
        <f aca="false">IF(A47&gt;=Допущения!$E$35,Допущения!$E$36,0)</f>
        <v>60</v>
      </c>
      <c r="K47" s="25" t="n">
        <f aca="false">H47+I47+J47</f>
        <v>882.222222222222</v>
      </c>
      <c r="L47" s="25" t="n">
        <f aca="false">(L46-K46)*(1-Допущения!$E$44)+K46*(1-Допущения!$E$43)+K47</f>
        <v>12406.2470513076</v>
      </c>
      <c r="M47" s="25" t="n">
        <f aca="false">IF(A47&gt;=Допущения!$E$38,Допущения!$E$73/Допущения!$E$42*MIN(Допущения!$E$42,A47-Допущения!$E$38+1),0)</f>
        <v>120</v>
      </c>
      <c r="N47" s="25" t="n">
        <f aca="false">N46*(1-Допущения!$E$45)+M47</f>
        <v>3041.14976639715</v>
      </c>
      <c r="O47" s="25" t="n">
        <f aca="false">L47+N47</f>
        <v>15447.3968177047</v>
      </c>
      <c r="P47" s="25" t="n">
        <f aca="false">L47*Допущения!$E$25</f>
        <v>3721.87411539228</v>
      </c>
      <c r="Q47" s="25" t="n">
        <f aca="false">L47*(1-Допущения!$E$25)+N47</f>
        <v>11725.5227023125</v>
      </c>
      <c r="R47" s="17" t="n">
        <f aca="false">MAX(Допущения!$E$18,ROUNDUP(Q47/Допущения!$E$68+P47/Допущения!$E$69,0))</f>
        <v>140</v>
      </c>
      <c r="S47" s="17" t="n">
        <f aca="false">ROUNDUP(R47/Допущения!$E$48,0)</f>
        <v>12</v>
      </c>
      <c r="T47" s="17" t="n">
        <f aca="false">L47*F47/(1+Допущения!$E$6)</f>
        <v>38425000.8866394</v>
      </c>
      <c r="U47" s="17" t="n">
        <f aca="false">N47*Допущения!$E$28*E47/(1+Допущения!$E$6)</f>
        <v>6076904.15919685</v>
      </c>
      <c r="V47" s="17" t="n">
        <f aca="false">O47*Допущения!$E$26*Допущения!$E$27/(1+Допущения!$E$6)</f>
        <v>1899270.10053747</v>
      </c>
      <c r="W47" s="17" t="n">
        <f aca="false">T47+U47+V47</f>
        <v>46401175.1463737</v>
      </c>
      <c r="X47" s="17" t="n">
        <f aca="false">J47*Допущения!$E$37</f>
        <v>30000</v>
      </c>
      <c r="Y47" s="17" t="n">
        <f aca="false">(R47*Допущения!$E$47+S47*Допущения!$E$49)*D47*Допущения!$E$9</f>
        <v>17090311.15008</v>
      </c>
      <c r="Z47" s="17" t="n">
        <f aca="false">(MAX(0,R47-R46)+R47*Допущения!$E$50/12)*Допущения!$E$51*D47</f>
        <v>573168.96</v>
      </c>
      <c r="AA47" s="17" t="n">
        <f aca="false">O47*(Допущения!$E$53+Допущения!$E$54)+(L47*F47+N47*Допущения!$E$28*E47)*Допущения!$E$13</f>
        <v>6615561.6732688</v>
      </c>
      <c r="AB47" s="17" t="n">
        <f aca="false">(R47+S47)*Допущения!$E$52</f>
        <v>410400</v>
      </c>
      <c r="AC47" s="17" t="n">
        <f aca="false">SUMPRODUCT(Допущения!$B$84:$B$91,Допущения!$C$84:$C$91,--(Допущения!$D$84:$D$91&lt;=A47))*D47*Допущения!$E$9</f>
        <v>2476618.98624</v>
      </c>
      <c r="AD47" s="17" t="n">
        <f aca="false">(AC47+Y47)*Допущения!$E$14</f>
        <v>1956693.013632</v>
      </c>
      <c r="AE47" s="17" t="n">
        <f aca="false">Допущения!$E$55+Допущения!$E$56*O47/1000+Допущения!$E$57</f>
        <v>263579.174541638</v>
      </c>
      <c r="AF47" s="17" t="n">
        <f aca="false">SUMIF(Допущения!$B$95:$B$103,A47,Допущения!$C$95:$C$103)</f>
        <v>0</v>
      </c>
      <c r="AG47" s="17" t="n">
        <v>0</v>
      </c>
      <c r="AH47" s="17" t="n">
        <f aca="false">G47+SUM(X47:AG47)</f>
        <v>31916332.9577624</v>
      </c>
      <c r="AI47" s="17" t="n">
        <f aca="false">W47-AH47</f>
        <v>14484842.1886113</v>
      </c>
      <c r="AJ47" s="17" t="n">
        <f aca="false">AJ46+AI47</f>
        <v>195717419.606733</v>
      </c>
      <c r="AK47" s="17" t="n">
        <f aca="false">O47*Допущения!$E$58*Допущения!$E$59</f>
        <v>764646.142476385</v>
      </c>
      <c r="AL47" s="17" t="n">
        <f aca="false">T47*Допущения!$E$72</f>
        <v>1937395.0026877</v>
      </c>
      <c r="AM47" s="17" t="n">
        <f aca="false">IF(MOD(A47,12)=0,INDEX($F$70:$F$74,B47),0)</f>
        <v>0</v>
      </c>
      <c r="AN47" s="17" t="n">
        <f aca="false">AI47-AM47</f>
        <v>14484842.1886113</v>
      </c>
      <c r="AO47" s="26" t="n">
        <f aca="false">1/(1+Допущения!$E$74)^A47</f>
        <v>0.498586588979468</v>
      </c>
      <c r="AP47" s="21" t="n">
        <f aca="false">IF(AND(A47&gt;Допущения!$E$19,MIN(AI47:AI$65)&gt;0),A47,"")</f>
        <v>42</v>
      </c>
      <c r="AQ47" s="21" t="n">
        <f aca="false">IF(MIN(AJ47:AJ$65)&gt;0,A47,"")</f>
        <v>42</v>
      </c>
    </row>
    <row r="48" customFormat="false" ht="15" hidden="false" customHeight="false" outlineLevel="0" collapsed="false">
      <c r="A48" s="28" t="n">
        <v>43</v>
      </c>
      <c r="B48" s="28" t="n">
        <f aca="false">INT((A48-1)/12)+1</f>
        <v>4</v>
      </c>
      <c r="C48" s="12" t="s">
        <v>462</v>
      </c>
      <c r="D48" s="15" t="n">
        <f aca="false">(1+Допущения!$E$11)^(B48-1)</f>
        <v>1.259712</v>
      </c>
      <c r="E48" s="15" t="n">
        <f aca="false">(1+Допущения!$E$12)^(B48-1)</f>
        <v>1.225043</v>
      </c>
      <c r="F48" s="17" t="n">
        <f aca="false">Допущения!$E$71*E48</f>
        <v>3778.62063264</v>
      </c>
      <c r="G48" s="17" t="n">
        <f aca="false">MIN(G47*(1+Допущения!$E$33),Допущения!$E$34)</f>
        <v>2500000</v>
      </c>
      <c r="H48" s="25" t="n">
        <f aca="false">MIN(Допущения!$E$30,G48/Допущения!$E$29)</f>
        <v>400</v>
      </c>
      <c r="I48" s="25" t="n">
        <f aca="false">MAX(0,G48-H48*Допущения!$E$29)/Допущения!$E$31</f>
        <v>422.222222222222</v>
      </c>
      <c r="J48" s="25" t="n">
        <f aca="false">IF(A48&gt;=Допущения!$E$35,Допущения!$E$36,0)</f>
        <v>60</v>
      </c>
      <c r="K48" s="25" t="n">
        <f aca="false">H48+I48+J48</f>
        <v>882.222222222222</v>
      </c>
      <c r="L48" s="25" t="n">
        <f aca="false">(L47-K47)*(1-Допущения!$E$44)+K47*(1-Допущения!$E$43)+K48</f>
        <v>12611.088156221</v>
      </c>
      <c r="M48" s="25" t="n">
        <f aca="false">IF(A48&gt;=Допущения!$E$38,Допущения!$E$73/Допущения!$E$42*MIN(Допущения!$E$42,A48-Допущения!$E$38+1),0)</f>
        <v>120</v>
      </c>
      <c r="N48" s="25" t="n">
        <f aca="false">N47*(1-Допущения!$E$45)+M48</f>
        <v>3100.3267710692</v>
      </c>
      <c r="O48" s="25" t="n">
        <f aca="false">L48+N48</f>
        <v>15711.4149272902</v>
      </c>
      <c r="P48" s="25" t="n">
        <f aca="false">L48*Допущения!$E$25</f>
        <v>3783.32644686629</v>
      </c>
      <c r="Q48" s="25" t="n">
        <f aca="false">L48*(1-Допущения!$E$25)+N48</f>
        <v>11928.0884804239</v>
      </c>
      <c r="R48" s="17" t="n">
        <f aca="false">MAX(Допущения!$E$18,ROUNDUP(Q48/Допущения!$E$68+P48/Допущения!$E$69,0))</f>
        <v>142</v>
      </c>
      <c r="S48" s="17" t="n">
        <f aca="false">ROUNDUP(R48/Допущения!$E$48,0)</f>
        <v>12</v>
      </c>
      <c r="T48" s="17" t="n">
        <f aca="false">L48*F48/(1+Допущения!$E$6)</f>
        <v>39059440.9074906</v>
      </c>
      <c r="U48" s="17" t="n">
        <f aca="false">N48*Допущения!$E$28*E48/(1+Допущения!$E$6)</f>
        <v>6195153.18125882</v>
      </c>
      <c r="V48" s="17" t="n">
        <f aca="false">O48*Допущения!$E$26*Допущения!$E$27/(1+Допущения!$E$6)</f>
        <v>1931731.34351928</v>
      </c>
      <c r="W48" s="17" t="n">
        <f aca="false">T48+U48+V48</f>
        <v>47186325.4322687</v>
      </c>
      <c r="X48" s="17" t="n">
        <f aca="false">J48*Допущения!$E$37</f>
        <v>30000</v>
      </c>
      <c r="Y48" s="17" t="n">
        <f aca="false">(R48*Допущения!$E$47+S48*Допущения!$E$49)*D48*Допущения!$E$9</f>
        <v>17303530.0032</v>
      </c>
      <c r="Z48" s="17" t="n">
        <f aca="false">(MAX(0,R48-R47)+R48*Допущения!$E$50/12)*Допущения!$E$51*D48</f>
        <v>489398.112</v>
      </c>
      <c r="AA48" s="17" t="n">
        <f aca="false">O48*(Допущения!$E$53+Допущения!$E$54)+(L48*F48+N48*Допущения!$E$28*E48)*Допущения!$E$13</f>
        <v>6728457.33464985</v>
      </c>
      <c r="AB48" s="17" t="n">
        <f aca="false">(R48+S48)*Допущения!$E$52</f>
        <v>415800</v>
      </c>
      <c r="AC48" s="17" t="n">
        <f aca="false">SUMPRODUCT(Допущения!$B$84:$B$91,Допущения!$C$84:$C$91,--(Допущения!$D$84:$D$91&lt;=A48))*D48*Допущения!$E$9</f>
        <v>2476618.98624</v>
      </c>
      <c r="AD48" s="17" t="n">
        <f aca="false">(AC48+Y48)*Допущения!$E$14</f>
        <v>1978014.898944</v>
      </c>
      <c r="AE48" s="17" t="n">
        <f aca="false">Допущения!$E$55+Допущения!$E$56*O48/1000+Допущения!$E$57</f>
        <v>265691.319418322</v>
      </c>
      <c r="AF48" s="17" t="n">
        <f aca="false">SUMIF(Допущения!$B$95:$B$103,A48,Допущения!$C$95:$C$103)</f>
        <v>0</v>
      </c>
      <c r="AG48" s="17" t="n">
        <v>0</v>
      </c>
      <c r="AH48" s="17" t="n">
        <f aca="false">G48+SUM(X48:AG48)</f>
        <v>32187510.6544522</v>
      </c>
      <c r="AI48" s="17" t="n">
        <f aca="false">W48-AH48</f>
        <v>14998814.7778165</v>
      </c>
      <c r="AJ48" s="17" t="n">
        <f aca="false">AJ47+AI48</f>
        <v>210716234.384549</v>
      </c>
      <c r="AK48" s="17" t="n">
        <f aca="false">O48*Допущения!$E$58*Допущения!$E$59</f>
        <v>777715.038900864</v>
      </c>
      <c r="AL48" s="17" t="n">
        <f aca="false">T48*Допущения!$E$72</f>
        <v>1969383.57516759</v>
      </c>
      <c r="AM48" s="17" t="n">
        <f aca="false">IF(MOD(A48,12)=0,INDEX($F$70:$F$74,B48),0)</f>
        <v>0</v>
      </c>
      <c r="AN48" s="17" t="n">
        <f aca="false">AI48-AM48</f>
        <v>14998814.7778165</v>
      </c>
      <c r="AO48" s="26" t="n">
        <f aca="false">1/(1+Допущения!$E$74)^A48</f>
        <v>0.490392636138581</v>
      </c>
      <c r="AP48" s="21" t="n">
        <f aca="false">IF(AND(A48&gt;Допущения!$E$19,MIN(AI48:AI$65)&gt;0),A48,"")</f>
        <v>43</v>
      </c>
      <c r="AQ48" s="21" t="n">
        <f aca="false">IF(MIN(AJ48:AJ$65)&gt;0,A48,"")</f>
        <v>43</v>
      </c>
    </row>
    <row r="49" customFormat="false" ht="15" hidden="false" customHeight="false" outlineLevel="0" collapsed="false">
      <c r="A49" s="28" t="n">
        <v>44</v>
      </c>
      <c r="B49" s="28" t="n">
        <f aca="false">INT((A49-1)/12)+1</f>
        <v>4</v>
      </c>
      <c r="C49" s="12" t="s">
        <v>462</v>
      </c>
      <c r="D49" s="15" t="n">
        <f aca="false">(1+Допущения!$E$11)^(B49-1)</f>
        <v>1.259712</v>
      </c>
      <c r="E49" s="15" t="n">
        <f aca="false">(1+Допущения!$E$12)^(B49-1)</f>
        <v>1.225043</v>
      </c>
      <c r="F49" s="17" t="n">
        <f aca="false">Допущения!$E$71*E49</f>
        <v>3778.62063264</v>
      </c>
      <c r="G49" s="17" t="n">
        <f aca="false">MIN(G48*(1+Допущения!$E$33),Допущения!$E$34)</f>
        <v>2500000</v>
      </c>
      <c r="H49" s="25" t="n">
        <f aca="false">MIN(Допущения!$E$30,G49/Допущения!$E$29)</f>
        <v>400</v>
      </c>
      <c r="I49" s="25" t="n">
        <f aca="false">MAX(0,G49-H49*Допущения!$E$29)/Допущения!$E$31</f>
        <v>422.222222222222</v>
      </c>
      <c r="J49" s="25" t="n">
        <f aca="false">IF(A49&gt;=Допущения!$E$35,Допущения!$E$36,0)</f>
        <v>60</v>
      </c>
      <c r="K49" s="25" t="n">
        <f aca="false">H49+I49+J49</f>
        <v>882.222222222222</v>
      </c>
      <c r="L49" s="25" t="n">
        <f aca="false">(L48-K48)*(1-Допущения!$E$44)+K48*(1-Допущения!$E$43)+K49</f>
        <v>12806.7114114133</v>
      </c>
      <c r="M49" s="25" t="n">
        <f aca="false">IF(A49&gt;=Допущения!$E$38,Допущения!$E$73/Допущения!$E$42*MIN(Допущения!$E$42,A49-Допущения!$E$38+1),0)</f>
        <v>120</v>
      </c>
      <c r="N49" s="25" t="n">
        <f aca="false">N48*(1-Допущения!$E$45)+M49</f>
        <v>3158.32023564782</v>
      </c>
      <c r="O49" s="25" t="n">
        <f aca="false">L49+N49</f>
        <v>15965.0316470611</v>
      </c>
      <c r="P49" s="25" t="n">
        <f aca="false">L49*Допущения!$E$25</f>
        <v>3842.01342342398</v>
      </c>
      <c r="Q49" s="25" t="n">
        <f aca="false">L49*(1-Допущения!$E$25)+N49</f>
        <v>12123.0182236371</v>
      </c>
      <c r="R49" s="17" t="n">
        <f aca="false">MAX(Допущения!$E$18,ROUNDUP(Q49/Допущения!$E$68+P49/Допущения!$E$69,0))</f>
        <v>144</v>
      </c>
      <c r="S49" s="17" t="n">
        <f aca="false">ROUNDUP(R49/Допущения!$E$48,0)</f>
        <v>12</v>
      </c>
      <c r="T49" s="17" t="n">
        <f aca="false">L49*F49/(1+Допущения!$E$6)</f>
        <v>39665331.1274035</v>
      </c>
      <c r="U49" s="17" t="n">
        <f aca="false">N49*Допущения!$E$28*E49/(1+Допущения!$E$6)</f>
        <v>6311037.22287954</v>
      </c>
      <c r="V49" s="17" t="n">
        <f aca="false">O49*Допущения!$E$26*Допущения!$E$27/(1+Допущения!$E$6)</f>
        <v>1962913.72709767</v>
      </c>
      <c r="W49" s="17" t="n">
        <f aca="false">T49+U49+V49</f>
        <v>47939282.0773807</v>
      </c>
      <c r="X49" s="17" t="n">
        <f aca="false">J49*Допущения!$E$37</f>
        <v>30000</v>
      </c>
      <c r="Y49" s="17" t="n">
        <f aca="false">(R49*Допущения!$E$47+S49*Допущения!$E$49)*D49*Допущения!$E$9</f>
        <v>17516748.85632</v>
      </c>
      <c r="Z49" s="17" t="n">
        <f aca="false">(MAX(0,R49-R48)+R49*Допущения!$E$50/12)*Допущения!$E$51*D49</f>
        <v>493807.104</v>
      </c>
      <c r="AA49" s="17" t="n">
        <f aca="false">O49*(Допущения!$E$53+Допущения!$E$54)+(L49*F49+N49*Допущения!$E$28*E49)*Допущения!$E$13</f>
        <v>6836877.60014951</v>
      </c>
      <c r="AB49" s="17" t="n">
        <f aca="false">(R49+S49)*Допущения!$E$52</f>
        <v>421200</v>
      </c>
      <c r="AC49" s="17" t="n">
        <f aca="false">SUMPRODUCT(Допущения!$B$84:$B$91,Допущения!$C$84:$C$91,--(Допущения!$D$84:$D$91&lt;=A49))*D49*Допущения!$E$9</f>
        <v>2476618.98624</v>
      </c>
      <c r="AD49" s="17" t="n">
        <f aca="false">(AC49+Y49)*Допущения!$E$14</f>
        <v>1999336.784256</v>
      </c>
      <c r="AE49" s="17" t="n">
        <f aca="false">Допущения!$E$55+Допущения!$E$56*O49/1000+Допущения!$E$57</f>
        <v>267720.253176489</v>
      </c>
      <c r="AF49" s="17" t="n">
        <f aca="false">SUMIF(Допущения!$B$95:$B$103,A49,Допущения!$C$95:$C$103)</f>
        <v>0</v>
      </c>
      <c r="AG49" s="17" t="n">
        <v>0</v>
      </c>
      <c r="AH49" s="17" t="n">
        <f aca="false">G49+SUM(X49:AG49)</f>
        <v>32542309.584142</v>
      </c>
      <c r="AI49" s="17" t="n">
        <f aca="false">W49-AH49</f>
        <v>15396972.4932387</v>
      </c>
      <c r="AJ49" s="17" t="n">
        <f aca="false">AJ48+AI49</f>
        <v>226113206.877788</v>
      </c>
      <c r="AK49" s="17" t="n">
        <f aca="false">O49*Допущения!$E$58*Допущения!$E$59</f>
        <v>790269.066529523</v>
      </c>
      <c r="AL49" s="17" t="n">
        <f aca="false">T49*Допущения!$E$72</f>
        <v>1999932.66188589</v>
      </c>
      <c r="AM49" s="17" t="n">
        <f aca="false">IF(MOD(A49,12)=0,INDEX($F$70:$F$74,B49),0)</f>
        <v>0</v>
      </c>
      <c r="AN49" s="17" t="n">
        <f aca="false">AI49-AM49</f>
        <v>15396972.4932387</v>
      </c>
      <c r="AO49" s="26" t="n">
        <f aca="false">1/(1+Допущения!$E$74)^A49</f>
        <v>0.482333345690631</v>
      </c>
      <c r="AP49" s="21" t="n">
        <f aca="false">IF(AND(A49&gt;Допущения!$E$19,MIN(AI49:AI$65)&gt;0),A49,"")</f>
        <v>44</v>
      </c>
      <c r="AQ49" s="21" t="n">
        <f aca="false">IF(MIN(AJ49:AJ$65)&gt;0,A49,"")</f>
        <v>44</v>
      </c>
    </row>
    <row r="50" customFormat="false" ht="15" hidden="false" customHeight="false" outlineLevel="0" collapsed="false">
      <c r="A50" s="28" t="n">
        <v>45</v>
      </c>
      <c r="B50" s="28" t="n">
        <f aca="false">INT((A50-1)/12)+1</f>
        <v>4</v>
      </c>
      <c r="C50" s="12" t="s">
        <v>462</v>
      </c>
      <c r="D50" s="15" t="n">
        <f aca="false">(1+Допущения!$E$11)^(B50-1)</f>
        <v>1.259712</v>
      </c>
      <c r="E50" s="15" t="n">
        <f aca="false">(1+Допущения!$E$12)^(B50-1)</f>
        <v>1.225043</v>
      </c>
      <c r="F50" s="17" t="n">
        <f aca="false">Допущения!$E$71*E50</f>
        <v>3778.62063264</v>
      </c>
      <c r="G50" s="17" t="n">
        <f aca="false">MIN(G49*(1+Допущения!$E$33),Допущения!$E$34)</f>
        <v>2500000</v>
      </c>
      <c r="H50" s="25" t="n">
        <f aca="false">MIN(Допущения!$E$30,G50/Допущения!$E$29)</f>
        <v>400</v>
      </c>
      <c r="I50" s="25" t="n">
        <f aca="false">MAX(0,G50-H50*Допущения!$E$29)/Допущения!$E$31</f>
        <v>422.222222222222</v>
      </c>
      <c r="J50" s="25" t="n">
        <f aca="false">IF(A50&gt;=Допущения!$E$35,Допущения!$E$36,0)</f>
        <v>60</v>
      </c>
      <c r="K50" s="25" t="n">
        <f aca="false">H50+I50+J50</f>
        <v>882.222222222222</v>
      </c>
      <c r="L50" s="25" t="n">
        <f aca="false">(L49-K49)*(1-Допущения!$E$44)+K49*(1-Допущения!$E$43)+K50</f>
        <v>12993.5316201219</v>
      </c>
      <c r="M50" s="25" t="n">
        <f aca="false">IF(A50&gt;=Допущения!$E$38,Допущения!$E$73/Допущения!$E$42*MIN(Допущения!$E$42,A50-Допущения!$E$38+1),0)</f>
        <v>120</v>
      </c>
      <c r="N50" s="25" t="n">
        <f aca="false">N49*(1-Допущения!$E$45)+M50</f>
        <v>3215.15383093486</v>
      </c>
      <c r="O50" s="25" t="n">
        <f aca="false">L50+N50</f>
        <v>16208.6854510567</v>
      </c>
      <c r="P50" s="25" t="n">
        <f aca="false">L50*Допущения!$E$25</f>
        <v>3898.05948603656</v>
      </c>
      <c r="Q50" s="25" t="n">
        <f aca="false">L50*(1-Допущения!$E$25)+N50</f>
        <v>12310.6259650202</v>
      </c>
      <c r="R50" s="17" t="n">
        <f aca="false">MAX(Допущения!$E$18,ROUNDUP(Q50/Допущения!$E$68+P50/Допущения!$E$69,0))</f>
        <v>147</v>
      </c>
      <c r="S50" s="17" t="n">
        <f aca="false">ROUNDUP(R50/Допущения!$E$48,0)</f>
        <v>13</v>
      </c>
      <c r="T50" s="17" t="n">
        <f aca="false">L50*F50/(1+Допущения!$E$6)</f>
        <v>40243956.2874203</v>
      </c>
      <c r="U50" s="17" t="n">
        <f aca="false">N50*Допущения!$E$28*E50/(1+Допущения!$E$6)</f>
        <v>6424603.58366785</v>
      </c>
      <c r="V50" s="17" t="n">
        <f aca="false">O50*Допущения!$E$26*Допущения!$E$27/(1+Допущения!$E$6)</f>
        <v>1992871.16201517</v>
      </c>
      <c r="W50" s="17" t="n">
        <f aca="false">T50+U50+V50</f>
        <v>48661431.0331033</v>
      </c>
      <c r="X50" s="17" t="n">
        <f aca="false">J50*Допущения!$E$37</f>
        <v>30000</v>
      </c>
      <c r="Y50" s="17" t="n">
        <f aca="false">(R50*Допущения!$E$47+S50*Допущения!$E$49)*D50*Допущения!$E$9</f>
        <v>18016993.08864</v>
      </c>
      <c r="Z50" s="17" t="n">
        <f aca="false">(MAX(0,R50-R49)+R50*Допущения!$E$50/12)*Допущения!$E$51*D50</f>
        <v>588600.432</v>
      </c>
      <c r="AA50" s="17" t="n">
        <f aca="false">O50*(Допущения!$E$53+Допущения!$E$54)+(L50*F50+N50*Допущения!$E$28*E50)*Допущения!$E$13</f>
        <v>6941011.76440481</v>
      </c>
      <c r="AB50" s="17" t="n">
        <f aca="false">(R50+S50)*Допущения!$E$52</f>
        <v>432000</v>
      </c>
      <c r="AC50" s="17" t="n">
        <f aca="false">SUMPRODUCT(Допущения!$B$84:$B$91,Допущения!$C$84:$C$91,--(Допущения!$D$84:$D$91&lt;=A50))*D50*Допущения!$E$9</f>
        <v>2476618.98624</v>
      </c>
      <c r="AD50" s="17" t="n">
        <f aca="false">(AC50+Y50)*Допущения!$E$14</f>
        <v>2049361.207488</v>
      </c>
      <c r="AE50" s="17" t="n">
        <f aca="false">Допущения!$E$55+Допущения!$E$56*O50/1000+Допущения!$E$57</f>
        <v>269669.483608454</v>
      </c>
      <c r="AF50" s="17" t="n">
        <f aca="false">SUMIF(Допущения!$B$95:$B$103,A50,Допущения!$C$95:$C$103)</f>
        <v>0</v>
      </c>
      <c r="AG50" s="17" t="n">
        <v>0</v>
      </c>
      <c r="AH50" s="17" t="n">
        <f aca="false">G50+SUM(X50:AG50)</f>
        <v>33304254.9623813</v>
      </c>
      <c r="AI50" s="17" t="n">
        <f aca="false">W50-AH50</f>
        <v>15357176.0707221</v>
      </c>
      <c r="AJ50" s="17" t="n">
        <f aca="false">AJ49+AI50</f>
        <v>241470382.94851</v>
      </c>
      <c r="AK50" s="17" t="n">
        <f aca="false">O50*Допущения!$E$58*Допущения!$E$59</f>
        <v>802329.929827309</v>
      </c>
      <c r="AL50" s="17" t="n">
        <f aca="false">T50*Допущения!$E$72</f>
        <v>2029107.03970186</v>
      </c>
      <c r="AM50" s="17" t="n">
        <f aca="false">IF(MOD(A50,12)=0,INDEX($F$70:$F$74,B50),0)</f>
        <v>0</v>
      </c>
      <c r="AN50" s="17" t="n">
        <f aca="false">AI50-AM50</f>
        <v>15357176.0707221</v>
      </c>
      <c r="AO50" s="26" t="n">
        <f aca="false">1/(1+Допущения!$E$74)^A50</f>
        <v>0.474406504545011</v>
      </c>
      <c r="AP50" s="21" t="n">
        <f aca="false">IF(AND(A50&gt;Допущения!$E$19,MIN(AI50:AI$65)&gt;0),A50,"")</f>
        <v>45</v>
      </c>
      <c r="AQ50" s="21" t="n">
        <f aca="false">IF(MIN(AJ50:AJ$65)&gt;0,A50,"")</f>
        <v>45</v>
      </c>
    </row>
    <row r="51" customFormat="false" ht="15" hidden="false" customHeight="false" outlineLevel="0" collapsed="false">
      <c r="A51" s="28" t="n">
        <v>46</v>
      </c>
      <c r="B51" s="28" t="n">
        <f aca="false">INT((A51-1)/12)+1</f>
        <v>4</v>
      </c>
      <c r="C51" s="12" t="s">
        <v>462</v>
      </c>
      <c r="D51" s="15" t="n">
        <f aca="false">(1+Допущения!$E$11)^(B51-1)</f>
        <v>1.259712</v>
      </c>
      <c r="E51" s="15" t="n">
        <f aca="false">(1+Допущения!$E$12)^(B51-1)</f>
        <v>1.225043</v>
      </c>
      <c r="F51" s="17" t="n">
        <f aca="false">Допущения!$E$71*E51</f>
        <v>3778.62063264</v>
      </c>
      <c r="G51" s="17" t="n">
        <f aca="false">MIN(G50*(1+Допущения!$E$33),Допущения!$E$34)</f>
        <v>2500000</v>
      </c>
      <c r="H51" s="25" t="n">
        <f aca="false">MIN(Допущения!$E$30,G51/Допущения!$E$29)</f>
        <v>400</v>
      </c>
      <c r="I51" s="25" t="n">
        <f aca="false">MAX(0,G51-H51*Допущения!$E$29)/Допущения!$E$31</f>
        <v>422.222222222222</v>
      </c>
      <c r="J51" s="25" t="n">
        <f aca="false">IF(A51&gt;=Допущения!$E$35,Допущения!$E$36,0)</f>
        <v>60</v>
      </c>
      <c r="K51" s="25" t="n">
        <f aca="false">H51+I51+J51</f>
        <v>882.222222222222</v>
      </c>
      <c r="L51" s="25" t="n">
        <f aca="false">(L50-K50)*(1-Допущения!$E$44)+K50*(1-Допущения!$E$43)+K51</f>
        <v>13171.9449194386</v>
      </c>
      <c r="M51" s="25" t="n">
        <f aca="false">IF(A51&gt;=Допущения!$E$38,Допущения!$E$73/Допущения!$E$42*MIN(Допущения!$E$42,A51-Допущения!$E$38+1),0)</f>
        <v>120</v>
      </c>
      <c r="N51" s="25" t="n">
        <f aca="false">N50*(1-Допущения!$E$45)+M51</f>
        <v>3270.85075431617</v>
      </c>
      <c r="O51" s="25" t="n">
        <f aca="false">L51+N51</f>
        <v>16442.7956737548</v>
      </c>
      <c r="P51" s="25" t="n">
        <f aca="false">L51*Допущения!$E$25</f>
        <v>3951.58347583158</v>
      </c>
      <c r="Q51" s="25" t="n">
        <f aca="false">L51*(1-Допущения!$E$25)+N51</f>
        <v>12491.2121979232</v>
      </c>
      <c r="R51" s="17" t="n">
        <f aca="false">MAX(Допущения!$E$18,ROUNDUP(Q51/Допущения!$E$68+P51/Допущения!$E$69,0))</f>
        <v>149</v>
      </c>
      <c r="S51" s="17" t="n">
        <f aca="false">ROUNDUP(R51/Допущения!$E$48,0)</f>
        <v>13</v>
      </c>
      <c r="T51" s="17" t="n">
        <f aca="false">L51*F51/(1+Допущения!$E$6)</f>
        <v>40796543.3152364</v>
      </c>
      <c r="U51" s="17" t="n">
        <f aca="false">N51*Допущения!$E$28*E51/(1+Допущения!$E$6)</f>
        <v>6535898.6172404</v>
      </c>
      <c r="V51" s="17" t="n">
        <f aca="false">O51*Допущения!$E$26*Допущения!$E$27/(1+Допущения!$E$6)</f>
        <v>2021655.20578952</v>
      </c>
      <c r="W51" s="17" t="n">
        <f aca="false">T51+U51+V51</f>
        <v>49354097.1382663</v>
      </c>
      <c r="X51" s="17" t="n">
        <f aca="false">J51*Допущения!$E$37</f>
        <v>30000</v>
      </c>
      <c r="Y51" s="17" t="n">
        <f aca="false">(R51*Допущения!$E$47+S51*Допущения!$E$49)*D51*Допущения!$E$9</f>
        <v>18230211.94176</v>
      </c>
      <c r="Z51" s="17" t="n">
        <f aca="false">(MAX(0,R51-R50)+R51*Допущения!$E$50/12)*Допущения!$E$51*D51</f>
        <v>504829.584</v>
      </c>
      <c r="AA51" s="17" t="n">
        <f aca="false">O51*(Допущения!$E$53+Допущения!$E$54)+(L51*F51+N51*Допущения!$E$28*E51)*Допущения!$E$13</f>
        <v>7041040.84575769</v>
      </c>
      <c r="AB51" s="17" t="n">
        <f aca="false">(R51+S51)*Допущения!$E$52</f>
        <v>437400</v>
      </c>
      <c r="AC51" s="17" t="n">
        <f aca="false">SUMPRODUCT(Допущения!$B$84:$B$91,Допущения!$C$84:$C$91,--(Допущения!$D$84:$D$91&lt;=A51))*D51*Допущения!$E$9</f>
        <v>2476618.98624</v>
      </c>
      <c r="AD51" s="17" t="n">
        <f aca="false">(AC51+Y51)*Допущения!$E$14</f>
        <v>2070683.0928</v>
      </c>
      <c r="AE51" s="17" t="n">
        <f aca="false">Допущения!$E$55+Допущения!$E$56*O51/1000+Допущения!$E$57</f>
        <v>271542.365390038</v>
      </c>
      <c r="AF51" s="17" t="n">
        <f aca="false">SUMIF(Допущения!$B$95:$B$103,A51,Допущения!$C$95:$C$103)</f>
        <v>0</v>
      </c>
      <c r="AG51" s="17" t="n">
        <v>0</v>
      </c>
      <c r="AH51" s="17" t="n">
        <f aca="false">G51+SUM(X51:AG51)</f>
        <v>33562326.8159477</v>
      </c>
      <c r="AI51" s="17" t="n">
        <f aca="false">W51-AH51</f>
        <v>15791770.3223186</v>
      </c>
      <c r="AJ51" s="17" t="n">
        <f aca="false">AJ50+AI51</f>
        <v>257262153.270828</v>
      </c>
      <c r="AK51" s="17" t="n">
        <f aca="false">O51*Допущения!$E$58*Допущения!$E$59</f>
        <v>813918.385850862</v>
      </c>
      <c r="AL51" s="17" t="n">
        <f aca="false">T51*Допущения!$E$72</f>
        <v>2056968.57051612</v>
      </c>
      <c r="AM51" s="17" t="n">
        <f aca="false">IF(MOD(A51,12)=0,INDEX($F$70:$F$74,B51),0)</f>
        <v>0</v>
      </c>
      <c r="AN51" s="17" t="n">
        <f aca="false">AI51-AM51</f>
        <v>15791770.3223186</v>
      </c>
      <c r="AO51" s="26" t="n">
        <f aca="false">1/(1+Допущения!$E$74)^A51</f>
        <v>0.466609935981848</v>
      </c>
      <c r="AP51" s="21" t="n">
        <f aca="false">IF(AND(A51&gt;Допущения!$E$19,MIN(AI51:AI$65)&gt;0),A51,"")</f>
        <v>46</v>
      </c>
      <c r="AQ51" s="21" t="n">
        <f aca="false">IF(MIN(AJ51:AJ$65)&gt;0,A51,"")</f>
        <v>46</v>
      </c>
    </row>
    <row r="52" customFormat="false" ht="15" hidden="false" customHeight="false" outlineLevel="0" collapsed="false">
      <c r="A52" s="28" t="n">
        <v>47</v>
      </c>
      <c r="B52" s="28" t="n">
        <f aca="false">INT((A52-1)/12)+1</f>
        <v>4</v>
      </c>
      <c r="C52" s="12" t="s">
        <v>462</v>
      </c>
      <c r="D52" s="15" t="n">
        <f aca="false">(1+Допущения!$E$11)^(B52-1)</f>
        <v>1.259712</v>
      </c>
      <c r="E52" s="15" t="n">
        <f aca="false">(1+Допущения!$E$12)^(B52-1)</f>
        <v>1.225043</v>
      </c>
      <c r="F52" s="17" t="n">
        <f aca="false">Допущения!$E$71*E52</f>
        <v>3778.62063264</v>
      </c>
      <c r="G52" s="17" t="n">
        <f aca="false">MIN(G51*(1+Допущения!$E$33),Допущения!$E$34)</f>
        <v>2500000</v>
      </c>
      <c r="H52" s="25" t="n">
        <f aca="false">MIN(Допущения!$E$30,G52/Допущения!$E$29)</f>
        <v>400</v>
      </c>
      <c r="I52" s="25" t="n">
        <f aca="false">MAX(0,G52-H52*Допущения!$E$29)/Допущения!$E$31</f>
        <v>422.222222222222</v>
      </c>
      <c r="J52" s="25" t="n">
        <f aca="false">IF(A52&gt;=Допущения!$E$35,Допущения!$E$36,0)</f>
        <v>60</v>
      </c>
      <c r="K52" s="25" t="n">
        <f aca="false">H52+I52+J52</f>
        <v>882.222222222222</v>
      </c>
      <c r="L52" s="25" t="n">
        <f aca="false">(L51-K51)*(1-Допущения!$E$44)+K51*(1-Допущения!$E$43)+K52</f>
        <v>13342.3296202861</v>
      </c>
      <c r="M52" s="25" t="n">
        <f aca="false">IF(A52&gt;=Допущения!$E$38,Допущения!$E$73/Допущения!$E$42*MIN(Допущения!$E$42,A52-Допущения!$E$38+1),0)</f>
        <v>120</v>
      </c>
      <c r="N52" s="25" t="n">
        <f aca="false">N51*(1-Допущения!$E$45)+M52</f>
        <v>3325.43373922984</v>
      </c>
      <c r="O52" s="25" t="n">
        <f aca="false">L52+N52</f>
        <v>16667.7633595159</v>
      </c>
      <c r="P52" s="25" t="n">
        <f aca="false">L52*Допущения!$E$25</f>
        <v>4002.69888608583</v>
      </c>
      <c r="Q52" s="25" t="n">
        <f aca="false">L52*(1-Допущения!$E$25)+N52</f>
        <v>12665.0644734301</v>
      </c>
      <c r="R52" s="17" t="n">
        <f aca="false">MAX(Допущения!$E$18,ROUNDUP(Q52/Допущения!$E$68+P52/Допущения!$E$69,0))</f>
        <v>151</v>
      </c>
      <c r="S52" s="17" t="n">
        <f aca="false">ROUNDUP(R52/Допущения!$E$48,0)</f>
        <v>13</v>
      </c>
      <c r="T52" s="17" t="n">
        <f aca="false">L52*F52/(1+Допущения!$E$6)</f>
        <v>41324263.9268007</v>
      </c>
      <c r="U52" s="17" t="n">
        <f aca="false">N52*Допущения!$E$28*E52/(1+Допущения!$E$6)</f>
        <v>6644967.75014149</v>
      </c>
      <c r="V52" s="17" t="n">
        <f aca="false">O52*Допущения!$E$26*Допущения!$E$27/(1+Допущения!$E$6)</f>
        <v>2049315.1671536</v>
      </c>
      <c r="W52" s="17" t="n">
        <f aca="false">T52+U52+V52</f>
        <v>50018546.8440958</v>
      </c>
      <c r="X52" s="17" t="n">
        <f aca="false">J52*Допущения!$E$37</f>
        <v>30000</v>
      </c>
      <c r="Y52" s="17" t="n">
        <f aca="false">(R52*Допущения!$E$47+S52*Допущения!$E$49)*D52*Допущения!$E$9</f>
        <v>18443430.79488</v>
      </c>
      <c r="Z52" s="17" t="n">
        <f aca="false">(MAX(0,R52-R51)+R52*Допущения!$E$50/12)*Допущения!$E$51*D52</f>
        <v>509238.576</v>
      </c>
      <c r="AA52" s="17" t="n">
        <f aca="false">O52*(Допущения!$E$53+Допущения!$E$54)+(L52*F52+N52*Допущения!$E$28*E52)*Допущения!$E$13</f>
        <v>7137137.95384897</v>
      </c>
      <c r="AB52" s="17" t="n">
        <f aca="false">(R52+S52)*Допущения!$E$52</f>
        <v>442800</v>
      </c>
      <c r="AC52" s="17" t="n">
        <f aca="false">SUMPRODUCT(Допущения!$B$84:$B$91,Допущения!$C$84:$C$91,--(Допущения!$D$84:$D$91&lt;=A52))*D52*Допущения!$E$9</f>
        <v>2476618.98624</v>
      </c>
      <c r="AD52" s="17" t="n">
        <f aca="false">(AC52+Y52)*Допущения!$E$14</f>
        <v>2092004.978112</v>
      </c>
      <c r="AE52" s="17" t="n">
        <f aca="false">Допущения!$E$55+Допущения!$E$56*O52/1000+Допущения!$E$57</f>
        <v>273342.106876128</v>
      </c>
      <c r="AF52" s="17" t="n">
        <f aca="false">SUMIF(Допущения!$B$95:$B$103,A52,Допущения!$C$95:$C$103)</f>
        <v>0</v>
      </c>
      <c r="AG52" s="17" t="n">
        <v>0</v>
      </c>
      <c r="AH52" s="17" t="n">
        <f aca="false">G52+SUM(X52:AG52)</f>
        <v>33904573.3959571</v>
      </c>
      <c r="AI52" s="17" t="n">
        <f aca="false">W52-AH52</f>
        <v>16113973.4481387</v>
      </c>
      <c r="AJ52" s="17" t="n">
        <f aca="false">AJ51+AI52</f>
        <v>273376126.718967</v>
      </c>
      <c r="AK52" s="17" t="n">
        <f aca="false">O52*Допущения!$E$58*Допущения!$E$59</f>
        <v>825054.286296039</v>
      </c>
      <c r="AL52" s="17" t="n">
        <f aca="false">T52*Допущения!$E$72</f>
        <v>2083576.33244373</v>
      </c>
      <c r="AM52" s="17" t="n">
        <f aca="false">IF(MOD(A52,12)=0,INDEX($F$70:$F$74,B52),0)</f>
        <v>0</v>
      </c>
      <c r="AN52" s="17" t="n">
        <f aca="false">AI52-AM52</f>
        <v>16113973.4481387</v>
      </c>
      <c r="AO52" s="26" t="n">
        <f aca="false">1/(1+Допущения!$E$74)^A52</f>
        <v>0.458941499054271</v>
      </c>
      <c r="AP52" s="21" t="n">
        <f aca="false">IF(AND(A52&gt;Допущения!$E$19,MIN(AI52:AI$65)&gt;0),A52,"")</f>
        <v>47</v>
      </c>
      <c r="AQ52" s="21" t="n">
        <f aca="false">IF(MIN(AJ52:AJ$65)&gt;0,A52,"")</f>
        <v>47</v>
      </c>
    </row>
    <row r="53" customFormat="false" ht="15" hidden="false" customHeight="false" outlineLevel="0" collapsed="false">
      <c r="A53" s="28" t="n">
        <v>48</v>
      </c>
      <c r="B53" s="28" t="n">
        <f aca="false">INT((A53-1)/12)+1</f>
        <v>4</v>
      </c>
      <c r="C53" s="12" t="s">
        <v>462</v>
      </c>
      <c r="D53" s="15" t="n">
        <f aca="false">(1+Допущения!$E$11)^(B53-1)</f>
        <v>1.259712</v>
      </c>
      <c r="E53" s="15" t="n">
        <f aca="false">(1+Допущения!$E$12)^(B53-1)</f>
        <v>1.225043</v>
      </c>
      <c r="F53" s="17" t="n">
        <f aca="false">Допущения!$E$71*E53</f>
        <v>3778.62063264</v>
      </c>
      <c r="G53" s="17" t="n">
        <f aca="false">MIN(G52*(1+Допущения!$E$33),Допущения!$E$34)</f>
        <v>2500000</v>
      </c>
      <c r="H53" s="25" t="n">
        <f aca="false">MIN(Допущения!$E$30,G53/Допущения!$E$29)</f>
        <v>400</v>
      </c>
      <c r="I53" s="25" t="n">
        <f aca="false">MAX(0,G53-H53*Допущения!$E$29)/Допущения!$E$31</f>
        <v>422.222222222222</v>
      </c>
      <c r="J53" s="25" t="n">
        <f aca="false">IF(A53&gt;=Допущения!$E$35,Допущения!$E$36,0)</f>
        <v>60</v>
      </c>
      <c r="K53" s="25" t="n">
        <f aca="false">H53+I53+J53</f>
        <v>882.222222222222</v>
      </c>
      <c r="L53" s="25" t="n">
        <f aca="false">(L52-K52)*(1-Допущения!$E$44)+K52*(1-Допущения!$E$43)+K53</f>
        <v>13505.0470095954</v>
      </c>
      <c r="M53" s="25" t="n">
        <f aca="false">IF(A53&gt;=Допущения!$E$38,Допущения!$E$73/Допущения!$E$42*MIN(Допущения!$E$42,A53-Допущения!$E$38+1),0)</f>
        <v>120</v>
      </c>
      <c r="N53" s="25" t="n">
        <f aca="false">N52*(1-Допущения!$E$45)+M53</f>
        <v>3378.92506444525</v>
      </c>
      <c r="O53" s="25" t="n">
        <f aca="false">L53+N53</f>
        <v>16883.9720740407</v>
      </c>
      <c r="P53" s="25" t="n">
        <f aca="false">L53*Допущения!$E$25</f>
        <v>4051.51410287863</v>
      </c>
      <c r="Q53" s="25" t="n">
        <f aca="false">L53*(1-Допущения!$E$25)+N53</f>
        <v>12832.4579711621</v>
      </c>
      <c r="R53" s="17" t="n">
        <f aca="false">MAX(Допущения!$E$18,ROUNDUP(Q53/Допущения!$E$68+P53/Допущения!$E$69,0))</f>
        <v>153</v>
      </c>
      <c r="S53" s="17" t="n">
        <f aca="false">ROUNDUP(R53/Допущения!$E$48,0)</f>
        <v>13</v>
      </c>
      <c r="T53" s="17" t="n">
        <f aca="false">L53*F53/(1+Допущения!$E$6)</f>
        <v>41828237.1108447</v>
      </c>
      <c r="U53" s="17" t="n">
        <f aca="false">N53*Допущения!$E$28*E53/(1+Допущения!$E$6)</f>
        <v>6751855.50038456</v>
      </c>
      <c r="V53" s="17" t="n">
        <f aca="false">O53*Допущения!$E$26*Допущения!$E$27/(1+Допущения!$E$6)</f>
        <v>2075898.20582468</v>
      </c>
      <c r="W53" s="17" t="n">
        <f aca="false">T53+U53+V53</f>
        <v>50655990.8170539</v>
      </c>
      <c r="X53" s="17" t="n">
        <f aca="false">J53*Допущения!$E$37</f>
        <v>30000</v>
      </c>
      <c r="Y53" s="17" t="n">
        <f aca="false">(R53*Допущения!$E$47+S53*Допущения!$E$49)*D53*Допущения!$E$9</f>
        <v>18656649.648</v>
      </c>
      <c r="Z53" s="17" t="n">
        <f aca="false">(MAX(0,R53-R52)+R53*Допущения!$E$50/12)*Допущения!$E$51*D53</f>
        <v>513647.568</v>
      </c>
      <c r="AA53" s="17" t="n">
        <f aca="false">O53*(Допущения!$E$53+Допущения!$E$54)+(L53*F53+N53*Допущения!$E$28*E53)*Допущения!$E$13</f>
        <v>7229468.64076745</v>
      </c>
      <c r="AB53" s="17" t="n">
        <f aca="false">(R53+S53)*Допущения!$E$52</f>
        <v>448200</v>
      </c>
      <c r="AC53" s="17" t="n">
        <f aca="false">SUMPRODUCT(Допущения!$B$84:$B$91,Допущения!$C$84:$C$91,--(Допущения!$D$84:$D$91&lt;=A53))*D53*Допущения!$E$9</f>
        <v>2476618.98624</v>
      </c>
      <c r="AD53" s="17" t="n">
        <f aca="false">(AC53+Y53)*Допущения!$E$14</f>
        <v>2113326.863424</v>
      </c>
      <c r="AE53" s="17" t="n">
        <f aca="false">Допущения!$E$55+Допущения!$E$56*O53/1000+Допущения!$E$57</f>
        <v>275071.776592326</v>
      </c>
      <c r="AF53" s="17" t="n">
        <f aca="false">SUMIF(Допущения!$B$95:$B$103,A53,Допущения!$C$95:$C$103)</f>
        <v>0</v>
      </c>
      <c r="AG53" s="17" t="n">
        <v>0</v>
      </c>
      <c r="AH53" s="17" t="n">
        <f aca="false">G53+SUM(X53:AG53)</f>
        <v>34242983.4830238</v>
      </c>
      <c r="AI53" s="17" t="n">
        <f aca="false">W53-AH53</f>
        <v>16413007.3340301</v>
      </c>
      <c r="AJ53" s="17" t="n">
        <f aca="false">AJ52+AI53</f>
        <v>289789134.052997</v>
      </c>
      <c r="AK53" s="17" t="n">
        <f aca="false">O53*Допущения!$E$58*Допущения!$E$59</f>
        <v>835756.617665014</v>
      </c>
      <c r="AL53" s="17" t="n">
        <f aca="false">T53*Допущения!$E$72</f>
        <v>2108986.74508461</v>
      </c>
      <c r="AM53" s="17" t="n">
        <f aca="false">IF(MOD(A53,12)=0,INDEX($F$70:$F$74,B53),0)</f>
        <v>43892884.188889</v>
      </c>
      <c r="AN53" s="17" t="n">
        <f aca="false">AI53-AM53</f>
        <v>-27479876.8548589</v>
      </c>
      <c r="AO53" s="26" t="n">
        <f aca="false">1/(1+Допущения!$E$74)^A53</f>
        <v>0.451399088000507</v>
      </c>
      <c r="AP53" s="21" t="n">
        <f aca="false">IF(AND(A53&gt;Допущения!$E$19,MIN(AI53:AI$65)&gt;0),A53,"")</f>
        <v>48</v>
      </c>
      <c r="AQ53" s="21" t="n">
        <f aca="false">IF(MIN(AJ53:AJ$65)&gt;0,A53,"")</f>
        <v>48</v>
      </c>
    </row>
    <row r="54" customFormat="false" ht="15" hidden="false" customHeight="false" outlineLevel="0" collapsed="false">
      <c r="A54" s="28" t="n">
        <v>49</v>
      </c>
      <c r="B54" s="28" t="n">
        <f aca="false">INT((A54-1)/12)+1</f>
        <v>5</v>
      </c>
      <c r="C54" s="12" t="s">
        <v>462</v>
      </c>
      <c r="D54" s="15" t="n">
        <f aca="false">(1+Допущения!$E$11)^(B54-1)</f>
        <v>1.36048896</v>
      </c>
      <c r="E54" s="15" t="n">
        <f aca="false">(1+Допущения!$E$12)^(B54-1)</f>
        <v>1.31079601</v>
      </c>
      <c r="F54" s="17" t="n">
        <f aca="false">Допущения!$E$71*E54</f>
        <v>4043.1240769248</v>
      </c>
      <c r="G54" s="17" t="n">
        <f aca="false">MIN(G53*(1+Допущения!$E$33),Допущения!$E$34)</f>
        <v>2500000</v>
      </c>
      <c r="H54" s="25" t="n">
        <f aca="false">MIN(Допущения!$E$30,G54/Допущения!$E$29)</f>
        <v>400</v>
      </c>
      <c r="I54" s="25" t="n">
        <f aca="false">MAX(0,G54-H54*Допущения!$E$29)/Допущения!$E$31</f>
        <v>422.222222222222</v>
      </c>
      <c r="J54" s="25" t="n">
        <f aca="false">IF(A54&gt;=Допущения!$E$35,Допущения!$E$36,0)</f>
        <v>60</v>
      </c>
      <c r="K54" s="25" t="n">
        <f aca="false">H54+I54+J54</f>
        <v>882.222222222222</v>
      </c>
      <c r="L54" s="25" t="n">
        <f aca="false">(L53-K53)*(1-Допущения!$E$44)+K53*(1-Допущения!$E$43)+K54</f>
        <v>13660.4421163859</v>
      </c>
      <c r="M54" s="25" t="n">
        <f aca="false">IF(A54&gt;=Допущения!$E$38,Допущения!$E$73/Допущения!$E$42*MIN(Допущения!$E$42,A54-Допущения!$E$38+1),0)</f>
        <v>120</v>
      </c>
      <c r="N54" s="25" t="n">
        <f aca="false">N53*(1-Допущения!$E$45)+M54</f>
        <v>3431.34656315634</v>
      </c>
      <c r="O54" s="25" t="n">
        <f aca="false">L54+N54</f>
        <v>17091.7886795422</v>
      </c>
      <c r="P54" s="25" t="n">
        <f aca="false">L54*Допущения!$E$25</f>
        <v>4098.13263491576</v>
      </c>
      <c r="Q54" s="25" t="n">
        <f aca="false">L54*(1-Допущения!$E$25)+N54</f>
        <v>12993.6560446265</v>
      </c>
      <c r="R54" s="17" t="n">
        <f aca="false">MAX(Допущения!$E$18,ROUNDUP(Q54/Допущения!$E$68+P54/Допущения!$E$69,0))</f>
        <v>154</v>
      </c>
      <c r="S54" s="17" t="n">
        <f aca="false">ROUNDUP(R54/Допущения!$E$48,0)</f>
        <v>13</v>
      </c>
      <c r="T54" s="17" t="n">
        <f aca="false">L54*F54/(1+Допущения!$E$6)</f>
        <v>45271198.7067191</v>
      </c>
      <c r="U54" s="17" t="n">
        <f aca="false">N54*Допущения!$E$28*E54/(1+Допущения!$E$6)</f>
        <v>7336567.88031637</v>
      </c>
      <c r="V54" s="17" t="n">
        <f aca="false">O54*Допущения!$E$26*Допущения!$E$27/(1+Допущения!$E$6)</f>
        <v>2101449.42781257</v>
      </c>
      <c r="W54" s="17" t="n">
        <f aca="false">T54+U54+V54</f>
        <v>54709216.014848</v>
      </c>
      <c r="X54" s="17" t="n">
        <f aca="false">J54*Допущения!$E$37</f>
        <v>30000</v>
      </c>
      <c r="Y54" s="17" t="n">
        <f aca="false">(R54*Допущения!$E$47+S54*Допущения!$E$49)*D54*Допущения!$E$9</f>
        <v>20264319.8005248</v>
      </c>
      <c r="Z54" s="17" t="n">
        <f aca="false">(MAX(0,R54-R53)+R54*Допущения!$E$50/12)*Допущения!$E$51*D54</f>
        <v>461886.00192</v>
      </c>
      <c r="AA54" s="17" t="n">
        <f aca="false">O54*(Допущения!$E$53+Допущения!$E$54)+(L54*F54+N54*Допущения!$E$28*E54)*Допущения!$E$13</f>
        <v>7393769.42228421</v>
      </c>
      <c r="AB54" s="17" t="n">
        <f aca="false">(R54+S54)*Допущения!$E$52</f>
        <v>450900</v>
      </c>
      <c r="AC54" s="17" t="n">
        <f aca="false">SUMPRODUCT(Допущения!$B$84:$B$91,Допущения!$C$84:$C$91,--(Допущения!$D$84:$D$91&lt;=A54))*D54*Допущения!$E$9</f>
        <v>2674748.5051392</v>
      </c>
      <c r="AD54" s="17" t="n">
        <f aca="false">(AC54+Y54)*Допущения!$E$14</f>
        <v>2293906.8305664</v>
      </c>
      <c r="AE54" s="17" t="n">
        <f aca="false">Допущения!$E$55+Допущения!$E$56*O54/1000+Допущения!$E$57</f>
        <v>276734.309436338</v>
      </c>
      <c r="AF54" s="17" t="n">
        <f aca="false">SUMIF(Допущения!$B$95:$B$103,A54,Допущения!$C$95:$C$103)</f>
        <v>0</v>
      </c>
      <c r="AG54" s="17" t="n">
        <v>0</v>
      </c>
      <c r="AH54" s="17" t="n">
        <f aca="false">G54+SUM(X54:AG54)</f>
        <v>36346264.869871</v>
      </c>
      <c r="AI54" s="17" t="n">
        <f aca="false">W54-AH54</f>
        <v>18362951.1449771</v>
      </c>
      <c r="AJ54" s="17" t="n">
        <f aca="false">AJ53+AI54</f>
        <v>308152085.197974</v>
      </c>
      <c r="AK54" s="17" t="n">
        <f aca="false">O54*Допущения!$E$58*Допущения!$E$59</f>
        <v>846043.53963734</v>
      </c>
      <c r="AL54" s="17" t="n">
        <f aca="false">T54*Допущения!$E$72</f>
        <v>2282581.4473976</v>
      </c>
      <c r="AM54" s="17" t="n">
        <f aca="false">IF(MOD(A54,12)=0,INDEX($F$70:$F$74,B54),0)</f>
        <v>0</v>
      </c>
      <c r="AN54" s="17" t="n">
        <f aca="false">AI54-AM54</f>
        <v>18362951.1449771</v>
      </c>
      <c r="AO54" s="26" t="n">
        <f aca="false">1/(1+Допущения!$E$74)^A54</f>
        <v>0.443980631665638</v>
      </c>
      <c r="AP54" s="21" t="n">
        <f aca="false">IF(AND(A54&gt;Допущения!$E$19,MIN(AI54:AI$65)&gt;0),A54,"")</f>
        <v>49</v>
      </c>
      <c r="AQ54" s="21" t="n">
        <f aca="false">IF(MIN(AJ54:AJ$65)&gt;0,A54,"")</f>
        <v>49</v>
      </c>
    </row>
    <row r="55" customFormat="false" ht="15" hidden="false" customHeight="false" outlineLevel="0" collapsed="false">
      <c r="A55" s="28" t="n">
        <v>50</v>
      </c>
      <c r="B55" s="28" t="n">
        <f aca="false">INT((A55-1)/12)+1</f>
        <v>5</v>
      </c>
      <c r="C55" s="12" t="s">
        <v>462</v>
      </c>
      <c r="D55" s="15" t="n">
        <f aca="false">(1+Допущения!$E$11)^(B55-1)</f>
        <v>1.36048896</v>
      </c>
      <c r="E55" s="15" t="n">
        <f aca="false">(1+Допущения!$E$12)^(B55-1)</f>
        <v>1.31079601</v>
      </c>
      <c r="F55" s="17" t="n">
        <f aca="false">Допущения!$E$71*E55</f>
        <v>4043.1240769248</v>
      </c>
      <c r="G55" s="17" t="n">
        <f aca="false">MIN(G54*(1+Допущения!$E$33),Допущения!$E$34)</f>
        <v>2500000</v>
      </c>
      <c r="H55" s="25" t="n">
        <f aca="false">MIN(Допущения!$E$30,G55/Допущения!$E$29)</f>
        <v>400</v>
      </c>
      <c r="I55" s="25" t="n">
        <f aca="false">MAX(0,G55-H55*Допущения!$E$29)/Допущения!$E$31</f>
        <v>422.222222222222</v>
      </c>
      <c r="J55" s="25" t="n">
        <f aca="false">IF(A55&gt;=Допущения!$E$35,Допущения!$E$36,0)</f>
        <v>60</v>
      </c>
      <c r="K55" s="25" t="n">
        <f aca="false">H55+I55+J55</f>
        <v>882.222222222222</v>
      </c>
      <c r="L55" s="25" t="n">
        <f aca="false">(L54-K54)*(1-Допущения!$E$44)+K54*(1-Допущения!$E$43)+K55</f>
        <v>13808.8444433707</v>
      </c>
      <c r="M55" s="25" t="n">
        <f aca="false">IF(A55&gt;=Допущения!$E$38,Допущения!$E$73/Допущения!$E$42*MIN(Допущения!$E$42,A55-Допущения!$E$38+1),0)</f>
        <v>120</v>
      </c>
      <c r="N55" s="25" t="n">
        <f aca="false">N54*(1-Допущения!$E$45)+M55</f>
        <v>3482.71963189321</v>
      </c>
      <c r="O55" s="25" t="n">
        <f aca="false">L55+N55</f>
        <v>17291.5640752639</v>
      </c>
      <c r="P55" s="25" t="n">
        <f aca="false">L55*Допущения!$E$25</f>
        <v>4142.65333301122</v>
      </c>
      <c r="Q55" s="25" t="n">
        <f aca="false">L55*(1-Допущения!$E$25)+N55</f>
        <v>13148.9107422527</v>
      </c>
      <c r="R55" s="17" t="n">
        <f aca="false">MAX(Допущения!$E$18,ROUNDUP(Q55/Допущения!$E$68+P55/Допущения!$E$69,0))</f>
        <v>156</v>
      </c>
      <c r="S55" s="17" t="n">
        <f aca="false">ROUNDUP(R55/Допущения!$E$48,0)</f>
        <v>13</v>
      </c>
      <c r="T55" s="17" t="n">
        <f aca="false">L55*F55/(1+Допущения!$E$6)</f>
        <v>45763009.3799192</v>
      </c>
      <c r="U55" s="17" t="n">
        <f aca="false">N55*Допущения!$E$28*E55/(1+Допущения!$E$6)</f>
        <v>7446408.72532315</v>
      </c>
      <c r="V55" s="17" t="n">
        <f aca="false">O55*Допущения!$E$26*Допущения!$E$27/(1+Допущения!$E$6)</f>
        <v>2126011.97646688</v>
      </c>
      <c r="W55" s="17" t="n">
        <f aca="false">T55+U55+V55</f>
        <v>55335430.0817092</v>
      </c>
      <c r="X55" s="17" t="n">
        <f aca="false">J55*Допущения!$E$37</f>
        <v>30000</v>
      </c>
      <c r="Y55" s="17" t="n">
        <f aca="false">(R55*Допущения!$E$47+S55*Допущения!$E$49)*D55*Допущения!$E$9</f>
        <v>20494596.1618944</v>
      </c>
      <c r="Z55" s="17" t="n">
        <f aca="false">(MAX(0,R55-R54)+R55*Допущения!$E$50/12)*Допущения!$E$51*D55</f>
        <v>561881.94048</v>
      </c>
      <c r="AA55" s="17" t="n">
        <f aca="false">O55*(Допущения!$E$53+Допущения!$E$54)+(L55*F55+N55*Допущения!$E$28*E55)*Допущения!$E$13</f>
        <v>7479899.70906246</v>
      </c>
      <c r="AB55" s="17" t="n">
        <f aca="false">(R55+S55)*Допущения!$E$52</f>
        <v>456300</v>
      </c>
      <c r="AC55" s="17" t="n">
        <f aca="false">SUMPRODUCT(Допущения!$B$84:$B$91,Допущения!$C$84:$C$91,--(Допущения!$D$84:$D$91&lt;=A55))*D55*Допущения!$E$9</f>
        <v>2674748.5051392</v>
      </c>
      <c r="AD55" s="17" t="n">
        <f aca="false">(AC55+Y55)*Допущения!$E$14</f>
        <v>2316934.46670336</v>
      </c>
      <c r="AE55" s="17" t="n">
        <f aca="false">Допущения!$E$55+Допущения!$E$56*O55/1000+Допущения!$E$57</f>
        <v>278332.512602112</v>
      </c>
      <c r="AF55" s="17" t="n">
        <f aca="false">SUMIF(Допущения!$B$95:$B$103,A55,Допущения!$C$95:$C$103)</f>
        <v>0</v>
      </c>
      <c r="AG55" s="17" t="n">
        <v>0</v>
      </c>
      <c r="AH55" s="17" t="n">
        <f aca="false">G55+SUM(X55:AG55)</f>
        <v>36792693.2958815</v>
      </c>
      <c r="AI55" s="17" t="n">
        <f aca="false">W55-AH55</f>
        <v>18542736.7858277</v>
      </c>
      <c r="AJ55" s="17" t="n">
        <f aca="false">AJ54+AI55</f>
        <v>326694821.983802</v>
      </c>
      <c r="AK55" s="17" t="n">
        <f aca="false">O55*Допущения!$E$58*Допущения!$E$59</f>
        <v>855932.421725565</v>
      </c>
      <c r="AL55" s="17" t="n">
        <f aca="false">T55*Допущения!$E$72</f>
        <v>2307378.62419761</v>
      </c>
      <c r="AM55" s="17" t="n">
        <f aca="false">IF(MOD(A55,12)=0,INDEX($F$70:$F$74,B55),0)</f>
        <v>0</v>
      </c>
      <c r="AN55" s="17" t="n">
        <f aca="false">AI55-AM55</f>
        <v>18542736.7858277</v>
      </c>
      <c r="AO55" s="26" t="n">
        <f aca="false">1/(1+Допущения!$E$74)^A55</f>
        <v>0.436684092932853</v>
      </c>
      <c r="AP55" s="21" t="n">
        <f aca="false">IF(AND(A55&gt;Допущения!$E$19,MIN(AI55:AI$65)&gt;0),A55,"")</f>
        <v>50</v>
      </c>
      <c r="AQ55" s="21" t="n">
        <f aca="false">IF(MIN(AJ55:AJ$65)&gt;0,A55,"")</f>
        <v>50</v>
      </c>
    </row>
    <row r="56" customFormat="false" ht="15" hidden="false" customHeight="false" outlineLevel="0" collapsed="false">
      <c r="A56" s="28" t="n">
        <v>51</v>
      </c>
      <c r="B56" s="28" t="n">
        <f aca="false">INT((A56-1)/12)+1</f>
        <v>5</v>
      </c>
      <c r="C56" s="12" t="s">
        <v>462</v>
      </c>
      <c r="D56" s="15" t="n">
        <f aca="false">(1+Допущения!$E$11)^(B56-1)</f>
        <v>1.36048896</v>
      </c>
      <c r="E56" s="15" t="n">
        <f aca="false">(1+Допущения!$E$12)^(B56-1)</f>
        <v>1.31079601</v>
      </c>
      <c r="F56" s="17" t="n">
        <f aca="false">Допущения!$E$71*E56</f>
        <v>4043.1240769248</v>
      </c>
      <c r="G56" s="17" t="n">
        <f aca="false">MIN(G55*(1+Допущения!$E$33),Допущения!$E$34)</f>
        <v>2500000</v>
      </c>
      <c r="H56" s="25" t="n">
        <f aca="false">MIN(Допущения!$E$30,G56/Допущения!$E$29)</f>
        <v>400</v>
      </c>
      <c r="I56" s="25" t="n">
        <f aca="false">MAX(0,G56-H56*Допущения!$E$29)/Допущения!$E$31</f>
        <v>422.222222222222</v>
      </c>
      <c r="J56" s="25" t="n">
        <f aca="false">IF(A56&gt;=Допущения!$E$35,Допущения!$E$36,0)</f>
        <v>60</v>
      </c>
      <c r="K56" s="25" t="n">
        <f aca="false">H56+I56+J56</f>
        <v>882.222222222222</v>
      </c>
      <c r="L56" s="25" t="n">
        <f aca="false">(L55-K55)*(1-Допущения!$E$44)+K55*(1-Допущения!$E$43)+K56</f>
        <v>13950.5686656413</v>
      </c>
      <c r="M56" s="25" t="n">
        <f aca="false">IF(A56&gt;=Допущения!$E$38,Допущения!$E$73/Допущения!$E$42*MIN(Допущения!$E$42,A56-Допущения!$E$38+1),0)</f>
        <v>120</v>
      </c>
      <c r="N56" s="25" t="n">
        <f aca="false">N55*(1-Допущения!$E$45)+M56</f>
        <v>3533.06523925535</v>
      </c>
      <c r="O56" s="25" t="n">
        <f aca="false">L56+N56</f>
        <v>17483.6339048966</v>
      </c>
      <c r="P56" s="25" t="n">
        <f aca="false">L56*Допущения!$E$25</f>
        <v>4185.17059969238</v>
      </c>
      <c r="Q56" s="25" t="n">
        <f aca="false">L56*(1-Допущения!$E$25)+N56</f>
        <v>13298.4633052042</v>
      </c>
      <c r="R56" s="17" t="n">
        <f aca="false">MAX(Допущения!$E$18,ROUNDUP(Q56/Допущения!$E$68+P56/Допущения!$E$69,0))</f>
        <v>158</v>
      </c>
      <c r="S56" s="17" t="n">
        <f aca="false">ROUNDUP(R56/Допущения!$E$48,0)</f>
        <v>14</v>
      </c>
      <c r="T56" s="17" t="n">
        <f aca="false">L56*F56/(1+Допущения!$E$6)</f>
        <v>46232688.5728253</v>
      </c>
      <c r="U56" s="17" t="n">
        <f aca="false">N56*Допущения!$E$28*E56/(1+Допущения!$E$6)</f>
        <v>7554052.7534298</v>
      </c>
      <c r="V56" s="17" t="n">
        <f aca="false">O56*Допущения!$E$26*Допущения!$E$27/(1+Допущения!$E$6)</f>
        <v>2149627.1194545</v>
      </c>
      <c r="W56" s="17" t="n">
        <f aca="false">T56+U56+V56</f>
        <v>55936368.4457096</v>
      </c>
      <c r="X56" s="17" t="n">
        <f aca="false">J56*Допущения!$E$37</f>
        <v>30000</v>
      </c>
      <c r="Y56" s="17" t="n">
        <f aca="false">(R56*Допущения!$E$47+S56*Допущения!$E$49)*D56*Допущения!$E$9</f>
        <v>20919721.7521152</v>
      </c>
      <c r="Z56" s="17" t="n">
        <f aca="false">(MAX(0,R56-R55)+R56*Допущения!$E$50/12)*Допущения!$E$51*D56</f>
        <v>566643.65184</v>
      </c>
      <c r="AA56" s="17" t="n">
        <f aca="false">O56*(Допущения!$E$53+Допущения!$E$54)+(L56*F56+N56*Допущения!$E$28*E56)*Допущения!$E$13</f>
        <v>7562683.21481183</v>
      </c>
      <c r="AB56" s="17" t="n">
        <f aca="false">(R56+S56)*Допущения!$E$52</f>
        <v>464400</v>
      </c>
      <c r="AC56" s="17" t="n">
        <f aca="false">SUMPRODUCT(Допущения!$B$84:$B$91,Допущения!$C$84:$C$91,--(Допущения!$D$84:$D$91&lt;=A56))*D56*Допущения!$E$9</f>
        <v>2674748.5051392</v>
      </c>
      <c r="AD56" s="17" t="n">
        <f aca="false">(AC56+Y56)*Допущения!$E$14</f>
        <v>2359447.02572544</v>
      </c>
      <c r="AE56" s="17" t="n">
        <f aca="false">Допущения!$E$55+Допущения!$E$56*O56/1000+Допущения!$E$57</f>
        <v>279869.071239173</v>
      </c>
      <c r="AF56" s="17" t="n">
        <f aca="false">SUMIF(Допущения!$B$95:$B$103,A56,Допущения!$C$95:$C$103)</f>
        <v>0</v>
      </c>
      <c r="AG56" s="17" t="n">
        <v>0</v>
      </c>
      <c r="AH56" s="17" t="n">
        <f aca="false">G56+SUM(X56:AG56)</f>
        <v>37357513.2208708</v>
      </c>
      <c r="AI56" s="17" t="n">
        <f aca="false">W56-AH56</f>
        <v>18578855.2248388</v>
      </c>
      <c r="AJ56" s="17" t="n">
        <f aca="false">AJ55+AI56</f>
        <v>345273677.208641</v>
      </c>
      <c r="AK56" s="17" t="n">
        <f aca="false">O56*Допущения!$E$58*Допущения!$E$59</f>
        <v>865439.878292383</v>
      </c>
      <c r="AL56" s="17" t="n">
        <f aca="false">T56*Допущения!$E$72</f>
        <v>2331059.92804161</v>
      </c>
      <c r="AM56" s="17" t="n">
        <f aca="false">IF(MOD(A56,12)=0,INDEX($F$70:$F$74,B56),0)</f>
        <v>0</v>
      </c>
      <c r="AN56" s="17" t="n">
        <f aca="false">AI56-AM56</f>
        <v>18578855.2248388</v>
      </c>
      <c r="AO56" s="26" t="n">
        <f aca="false">1/(1+Допущения!$E$74)^A56</f>
        <v>0.429507468164061</v>
      </c>
      <c r="AP56" s="21" t="n">
        <f aca="false">IF(AND(A56&gt;Допущения!$E$19,MIN(AI56:AI$65)&gt;0),A56,"")</f>
        <v>51</v>
      </c>
      <c r="AQ56" s="21" t="n">
        <f aca="false">IF(MIN(AJ56:AJ$65)&gt;0,A56,"")</f>
        <v>51</v>
      </c>
    </row>
    <row r="57" customFormat="false" ht="15" hidden="false" customHeight="false" outlineLevel="0" collapsed="false">
      <c r="A57" s="28" t="n">
        <v>52</v>
      </c>
      <c r="B57" s="28" t="n">
        <f aca="false">INT((A57-1)/12)+1</f>
        <v>5</v>
      </c>
      <c r="C57" s="12" t="s">
        <v>462</v>
      </c>
      <c r="D57" s="15" t="n">
        <f aca="false">(1+Допущения!$E$11)^(B57-1)</f>
        <v>1.36048896</v>
      </c>
      <c r="E57" s="15" t="n">
        <f aca="false">(1+Допущения!$E$12)^(B57-1)</f>
        <v>1.31079601</v>
      </c>
      <c r="F57" s="17" t="n">
        <f aca="false">Допущения!$E$71*E57</f>
        <v>4043.1240769248</v>
      </c>
      <c r="G57" s="17" t="n">
        <f aca="false">MIN(G56*(1+Допущения!$E$33),Допущения!$E$34)</f>
        <v>2500000</v>
      </c>
      <c r="H57" s="25" t="n">
        <f aca="false">MIN(Допущения!$E$30,G57/Допущения!$E$29)</f>
        <v>400</v>
      </c>
      <c r="I57" s="25" t="n">
        <f aca="false">MAX(0,G57-H57*Допущения!$E$29)/Допущения!$E$31</f>
        <v>422.222222222222</v>
      </c>
      <c r="J57" s="25" t="n">
        <f aca="false">IF(A57&gt;=Допущения!$E$35,Допущения!$E$36,0)</f>
        <v>60</v>
      </c>
      <c r="K57" s="25" t="n">
        <f aca="false">H57+I57+J57</f>
        <v>882.222222222222</v>
      </c>
      <c r="L57" s="25" t="n">
        <f aca="false">(L56-K56)*(1-Допущения!$E$44)+K56*(1-Допущения!$E$43)+K57</f>
        <v>14085.9152979096</v>
      </c>
      <c r="M57" s="25" t="n">
        <f aca="false">IF(A57&gt;=Допущения!$E$38,Допущения!$E$73/Допущения!$E$42*MIN(Допущения!$E$42,A57-Допущения!$E$38+1),0)</f>
        <v>120</v>
      </c>
      <c r="N57" s="25" t="n">
        <f aca="false">N56*(1-Допущения!$E$45)+M57</f>
        <v>3582.40393447024</v>
      </c>
      <c r="O57" s="25" t="n">
        <f aca="false">L57+N57</f>
        <v>17668.3192323799</v>
      </c>
      <c r="P57" s="25" t="n">
        <f aca="false">L57*Допущения!$E$25</f>
        <v>4225.77458937289</v>
      </c>
      <c r="Q57" s="25" t="n">
        <f aca="false">L57*(1-Допущения!$E$25)+N57</f>
        <v>13442.544643007</v>
      </c>
      <c r="R57" s="17" t="n">
        <f aca="false">MAX(Допущения!$E$18,ROUNDUP(Q57/Допущения!$E$68+P57/Допущения!$E$69,0))</f>
        <v>160</v>
      </c>
      <c r="S57" s="17" t="n">
        <f aca="false">ROUNDUP(R57/Допущения!$E$48,0)</f>
        <v>14</v>
      </c>
      <c r="T57" s="17" t="n">
        <f aca="false">L57*F57/(1+Допущения!$E$6)</f>
        <v>46681232.2020507</v>
      </c>
      <c r="U57" s="17" t="n">
        <f aca="false">N57*Допущения!$E$28*E57/(1+Допущения!$E$6)</f>
        <v>7659543.90097432</v>
      </c>
      <c r="V57" s="17" t="n">
        <f aca="false">O57*Допущения!$E$26*Допущения!$E$27/(1+Допущения!$E$6)</f>
        <v>2172334.33184998</v>
      </c>
      <c r="W57" s="17" t="n">
        <f aca="false">T57+U57+V57</f>
        <v>56513110.434875</v>
      </c>
      <c r="X57" s="17" t="n">
        <f aca="false">J57*Допущения!$E$37</f>
        <v>30000</v>
      </c>
      <c r="Y57" s="17" t="n">
        <f aca="false">(R57*Допущения!$E$47+S57*Допущения!$E$49)*D57*Допущения!$E$9</f>
        <v>21149998.1134848</v>
      </c>
      <c r="Z57" s="17" t="n">
        <f aca="false">(MAX(0,R57-R56)+R57*Допущения!$E$50/12)*Допущения!$E$51*D57</f>
        <v>571405.3632</v>
      </c>
      <c r="AA57" s="17" t="n">
        <f aca="false">O57*(Допущения!$E$53+Допущения!$E$54)+(L57*F57+N57*Допущения!$E$28*E57)*Допущения!$E$13</f>
        <v>7642259.96304108</v>
      </c>
      <c r="AB57" s="17" t="n">
        <f aca="false">(R57+S57)*Допущения!$E$52</f>
        <v>469800</v>
      </c>
      <c r="AC57" s="17" t="n">
        <f aca="false">SUMPRODUCT(Допущения!$B$84:$B$91,Допущения!$C$84:$C$91,--(Допущения!$D$84:$D$91&lt;=A57))*D57*Допущения!$E$9</f>
        <v>2674748.5051392</v>
      </c>
      <c r="AD57" s="17" t="n">
        <f aca="false">(AC57+Y57)*Допущения!$E$14</f>
        <v>2382474.6618624</v>
      </c>
      <c r="AE57" s="17" t="n">
        <f aca="false">Допущения!$E$55+Допущения!$E$56*O57/1000+Допущения!$E$57</f>
        <v>281346.553859039</v>
      </c>
      <c r="AF57" s="17" t="n">
        <f aca="false">SUMIF(Допущения!$B$95:$B$103,A57,Допущения!$C$95:$C$103)</f>
        <v>0</v>
      </c>
      <c r="AG57" s="17" t="n">
        <v>0</v>
      </c>
      <c r="AH57" s="17" t="n">
        <f aca="false">G57+SUM(X57:AG57)</f>
        <v>37702033.1605865</v>
      </c>
      <c r="AI57" s="17" t="n">
        <f aca="false">W57-AH57</f>
        <v>18811077.2742884</v>
      </c>
      <c r="AJ57" s="17" t="n">
        <f aca="false">AJ56+AI57</f>
        <v>364084754.482929</v>
      </c>
      <c r="AK57" s="17" t="n">
        <f aca="false">O57*Допущения!$E$58*Допущения!$E$59</f>
        <v>874581.802002804</v>
      </c>
      <c r="AL57" s="17" t="n">
        <f aca="false">T57*Допущения!$E$72</f>
        <v>2353675.57321264</v>
      </c>
      <c r="AM57" s="17" t="n">
        <f aca="false">IF(MOD(A57,12)=0,INDEX($F$70:$F$74,B57),0)</f>
        <v>0</v>
      </c>
      <c r="AN57" s="17" t="n">
        <f aca="false">AI57-AM57</f>
        <v>18811077.2742884</v>
      </c>
      <c r="AO57" s="26" t="n">
        <f aca="false">1/(1+Допущения!$E$74)^A57</f>
        <v>0.422448786649684</v>
      </c>
      <c r="AP57" s="21" t="n">
        <f aca="false">IF(AND(A57&gt;Допущения!$E$19,MIN(AI57:AI$65)&gt;0),A57,"")</f>
        <v>52</v>
      </c>
      <c r="AQ57" s="21" t="n">
        <f aca="false">IF(MIN(AJ57:AJ$65)&gt;0,A57,"")</f>
        <v>52</v>
      </c>
    </row>
    <row r="58" customFormat="false" ht="15" hidden="false" customHeight="false" outlineLevel="0" collapsed="false">
      <c r="A58" s="28" t="n">
        <v>53</v>
      </c>
      <c r="B58" s="28" t="n">
        <f aca="false">INT((A58-1)/12)+1</f>
        <v>5</v>
      </c>
      <c r="C58" s="12" t="s">
        <v>462</v>
      </c>
      <c r="D58" s="15" t="n">
        <f aca="false">(1+Допущения!$E$11)^(B58-1)</f>
        <v>1.36048896</v>
      </c>
      <c r="E58" s="15" t="n">
        <f aca="false">(1+Допущения!$E$12)^(B58-1)</f>
        <v>1.31079601</v>
      </c>
      <c r="F58" s="17" t="n">
        <f aca="false">Допущения!$E$71*E58</f>
        <v>4043.1240769248</v>
      </c>
      <c r="G58" s="17" t="n">
        <f aca="false">MIN(G57*(1+Допущения!$E$33),Допущения!$E$34)</f>
        <v>2500000</v>
      </c>
      <c r="H58" s="25" t="n">
        <f aca="false">MIN(Допущения!$E$30,G58/Допущения!$E$29)</f>
        <v>400</v>
      </c>
      <c r="I58" s="25" t="n">
        <f aca="false">MAX(0,G58-H58*Допущения!$E$29)/Допущения!$E$31</f>
        <v>422.222222222222</v>
      </c>
      <c r="J58" s="25" t="n">
        <f aca="false">IF(A58&gt;=Допущения!$E$35,Допущения!$E$36,0)</f>
        <v>60</v>
      </c>
      <c r="K58" s="25" t="n">
        <f aca="false">H58+I58+J58</f>
        <v>882.222222222222</v>
      </c>
      <c r="L58" s="25" t="n">
        <f aca="false">(L57-K57)*(1-Допущения!$E$44)+K57*(1-Допущения!$E$43)+K58</f>
        <v>14215.1713317259</v>
      </c>
      <c r="M58" s="25" t="n">
        <f aca="false">IF(A58&gt;=Допущения!$E$38,Допущения!$E$73/Допущения!$E$42*MIN(Допущения!$E$42,A58-Допущения!$E$38+1),0)</f>
        <v>120</v>
      </c>
      <c r="N58" s="25" t="n">
        <f aca="false">N57*(1-Допущения!$E$45)+M58</f>
        <v>3630.75585578084</v>
      </c>
      <c r="O58" s="25" t="n">
        <f aca="false">L58+N58</f>
        <v>17845.9271875068</v>
      </c>
      <c r="P58" s="25" t="n">
        <f aca="false">L58*Допущения!$E$25</f>
        <v>4264.55139951778</v>
      </c>
      <c r="Q58" s="25" t="n">
        <f aca="false">L58*(1-Допущения!$E$25)+N58</f>
        <v>13581.375787989</v>
      </c>
      <c r="R58" s="17" t="n">
        <f aca="false">MAX(Допущения!$E$18,ROUNDUP(Q58/Допущения!$E$68+P58/Допущения!$E$69,0))</f>
        <v>161</v>
      </c>
      <c r="S58" s="17" t="n">
        <f aca="false">ROUNDUP(R58/Допущения!$E$48,0)</f>
        <v>14</v>
      </c>
      <c r="T58" s="17" t="n">
        <f aca="false">L58*F58/(1+Допущения!$E$6)</f>
        <v>47109591.3679609</v>
      </c>
      <c r="U58" s="17" t="n">
        <f aca="false">N58*Допущения!$E$28*E58/(1+Допущения!$E$6)</f>
        <v>7762925.22556795</v>
      </c>
      <c r="V58" s="17" t="n">
        <f aca="false">O58*Допущения!$E$26*Допущения!$E$27/(1+Допущения!$E$6)</f>
        <v>2194171.37551313</v>
      </c>
      <c r="W58" s="17" t="n">
        <f aca="false">T58+U58+V58</f>
        <v>57066687.9690419</v>
      </c>
      <c r="X58" s="17" t="n">
        <f aca="false">J58*Допущения!$E$37</f>
        <v>30000</v>
      </c>
      <c r="Y58" s="17" t="n">
        <f aca="false">(R58*Допущения!$E$47+S58*Допущения!$E$49)*D58*Допущения!$E$9</f>
        <v>21265136.2941696</v>
      </c>
      <c r="Z58" s="17" t="n">
        <f aca="false">(MAX(0,R58-R57)+R58*Допущения!$E$50/12)*Допущения!$E$51*D58</f>
        <v>478551.99168</v>
      </c>
      <c r="AA58" s="17" t="n">
        <f aca="false">O58*(Допущения!$E$53+Допущения!$E$54)+(L58*F58+N58*Допущения!$E$28*E58)*Допущения!$E$13</f>
        <v>7718763.88783386</v>
      </c>
      <c r="AB58" s="17" t="n">
        <f aca="false">(R58+S58)*Допущения!$E$52</f>
        <v>472500</v>
      </c>
      <c r="AC58" s="17" t="n">
        <f aca="false">SUMPRODUCT(Допущения!$B$84:$B$91,Допущения!$C$84:$C$91,--(Допущения!$D$84:$D$91&lt;=A58))*D58*Допущения!$E$9</f>
        <v>2674748.5051392</v>
      </c>
      <c r="AD58" s="17" t="n">
        <f aca="false">(AC58+Y58)*Допущения!$E$14</f>
        <v>2393988.47993088</v>
      </c>
      <c r="AE58" s="17" t="n">
        <f aca="false">Допущения!$E$55+Допущения!$E$56*O58/1000+Допущения!$E$57</f>
        <v>282767.417500054</v>
      </c>
      <c r="AF58" s="17" t="n">
        <f aca="false">SUMIF(Допущения!$B$95:$B$103,A58,Допущения!$C$95:$C$103)</f>
        <v>0</v>
      </c>
      <c r="AG58" s="17" t="n">
        <v>0</v>
      </c>
      <c r="AH58" s="17" t="n">
        <f aca="false">G58+SUM(X58:AG58)</f>
        <v>37816456.5762536</v>
      </c>
      <c r="AI58" s="17" t="n">
        <f aca="false">W58-AH58</f>
        <v>19250231.3927883</v>
      </c>
      <c r="AJ58" s="17" t="n">
        <f aca="false">AJ57+AI58</f>
        <v>383334985.875718</v>
      </c>
      <c r="AK58" s="17" t="n">
        <f aca="false">O58*Допущения!$E$58*Допущения!$E$59</f>
        <v>883373.395781584</v>
      </c>
      <c r="AL58" s="17" t="n">
        <f aca="false">T58*Допущения!$E$72</f>
        <v>2375273.51435097</v>
      </c>
      <c r="AM58" s="17" t="n">
        <f aca="false">IF(MOD(A58,12)=0,INDEX($F$70:$F$74,B58),0)</f>
        <v>0</v>
      </c>
      <c r="AN58" s="17" t="n">
        <f aca="false">AI58-AM58</f>
        <v>19250231.3927883</v>
      </c>
      <c r="AO58" s="26" t="n">
        <f aca="false">1/(1+Допущения!$E$74)^A58</f>
        <v>0.415506110067503</v>
      </c>
      <c r="AP58" s="21" t="n">
        <f aca="false">IF(AND(A58&gt;Допущения!$E$19,MIN(AI58:AI$65)&gt;0),A58,"")</f>
        <v>53</v>
      </c>
      <c r="AQ58" s="21" t="n">
        <f aca="false">IF(MIN(AJ58:AJ$65)&gt;0,A58,"")</f>
        <v>53</v>
      </c>
    </row>
    <row r="59" customFormat="false" ht="15" hidden="false" customHeight="false" outlineLevel="0" collapsed="false">
      <c r="A59" s="28" t="n">
        <v>54</v>
      </c>
      <c r="B59" s="28" t="n">
        <f aca="false">INT((A59-1)/12)+1</f>
        <v>5</v>
      </c>
      <c r="C59" s="12" t="s">
        <v>462</v>
      </c>
      <c r="D59" s="15" t="n">
        <f aca="false">(1+Допущения!$E$11)^(B59-1)</f>
        <v>1.36048896</v>
      </c>
      <c r="E59" s="15" t="n">
        <f aca="false">(1+Допущения!$E$12)^(B59-1)</f>
        <v>1.31079601</v>
      </c>
      <c r="F59" s="17" t="n">
        <f aca="false">Допущения!$E$71*E59</f>
        <v>4043.1240769248</v>
      </c>
      <c r="G59" s="17" t="n">
        <f aca="false">MIN(G58*(1+Допущения!$E$33),Допущения!$E$34)</f>
        <v>2500000</v>
      </c>
      <c r="H59" s="25" t="n">
        <f aca="false">MIN(Допущения!$E$30,G59/Допущения!$E$29)</f>
        <v>400</v>
      </c>
      <c r="I59" s="25" t="n">
        <f aca="false">MAX(0,G59-H59*Допущения!$E$29)/Допущения!$E$31</f>
        <v>422.222222222222</v>
      </c>
      <c r="J59" s="25" t="n">
        <f aca="false">IF(A59&gt;=Допущения!$E$35,Допущения!$E$36,0)</f>
        <v>60</v>
      </c>
      <c r="K59" s="25" t="n">
        <f aca="false">H59+I59+J59</f>
        <v>882.222222222222</v>
      </c>
      <c r="L59" s="25" t="n">
        <f aca="false">(L58-K58)*(1-Допущения!$E$44)+K58*(1-Допущения!$E$43)+K59</f>
        <v>14338.6108440205</v>
      </c>
      <c r="M59" s="25" t="n">
        <f aca="false">IF(A59&gt;=Допущения!$E$38,Допущения!$E$73/Допущения!$E$42*MIN(Допущения!$E$42,A59-Допущения!$E$38+1),0)</f>
        <v>120</v>
      </c>
      <c r="N59" s="25" t="n">
        <f aca="false">N58*(1-Допущения!$E$45)+M59</f>
        <v>3678.14073866522</v>
      </c>
      <c r="O59" s="25" t="n">
        <f aca="false">L59+N59</f>
        <v>18016.7515826857</v>
      </c>
      <c r="P59" s="25" t="n">
        <f aca="false">L59*Допущения!$E$25</f>
        <v>4301.58325320614</v>
      </c>
      <c r="Q59" s="25" t="n">
        <f aca="false">L59*(1-Допущения!$E$25)+N59</f>
        <v>13715.1683294796</v>
      </c>
      <c r="R59" s="17" t="n">
        <f aca="false">MAX(Допущения!$E$18,ROUNDUP(Q59/Допущения!$E$68+P59/Допущения!$E$69,0))</f>
        <v>163</v>
      </c>
      <c r="S59" s="17" t="n">
        <f aca="false">ROUNDUP(R59/Допущения!$E$48,0)</f>
        <v>14</v>
      </c>
      <c r="T59" s="17" t="n">
        <f aca="false">L59*F59/(1+Допущения!$E$6)</f>
        <v>47518674.3714051</v>
      </c>
      <c r="U59" s="17" t="n">
        <f aca="false">N59*Допущения!$E$28*E59/(1+Допущения!$E$6)</f>
        <v>7864238.92366971</v>
      </c>
      <c r="V59" s="17" t="n">
        <f aca="false">O59*Допущения!$E$26*Допущения!$E$27/(1+Допущения!$E$6)</f>
        <v>2215174.37492037</v>
      </c>
      <c r="W59" s="17" t="n">
        <f aca="false">T59+U59+V59</f>
        <v>57598087.6699952</v>
      </c>
      <c r="X59" s="17" t="n">
        <f aca="false">J59*Допущения!$E$37</f>
        <v>30000</v>
      </c>
      <c r="Y59" s="17" t="n">
        <f aca="false">(R59*Допущения!$E$47+S59*Допущения!$E$49)*D59*Допущения!$E$9</f>
        <v>21495412.6555392</v>
      </c>
      <c r="Z59" s="17" t="n">
        <f aca="false">(MAX(0,R59-R58)+R59*Допущения!$E$50/12)*Допущения!$E$51*D59</f>
        <v>578547.93024</v>
      </c>
      <c r="AA59" s="17" t="n">
        <f aca="false">O59*(Допущения!$E$53+Допущения!$E$54)+(L59*F59+N59*Допущения!$E$28*E59)*Допущения!$E$13</f>
        <v>7792323.10364012</v>
      </c>
      <c r="AB59" s="17" t="n">
        <f aca="false">(R59+S59)*Допущения!$E$52</f>
        <v>477900</v>
      </c>
      <c r="AC59" s="17" t="n">
        <f aca="false">SUMPRODUCT(Допущения!$B$84:$B$91,Допущения!$C$84:$C$91,--(Допущения!$D$84:$D$91&lt;=A59))*D59*Допущения!$E$9</f>
        <v>2674748.5051392</v>
      </c>
      <c r="AD59" s="17" t="n">
        <f aca="false">(AC59+Y59)*Допущения!$E$14</f>
        <v>2417016.11606784</v>
      </c>
      <c r="AE59" s="17" t="n">
        <f aca="false">Допущения!$E$55+Допущения!$E$56*O59/1000+Допущения!$E$57</f>
        <v>284134.012661486</v>
      </c>
      <c r="AF59" s="17" t="n">
        <f aca="false">SUMIF(Допущения!$B$95:$B$103,A59,Допущения!$C$95:$C$103)</f>
        <v>0</v>
      </c>
      <c r="AG59" s="17" t="n">
        <v>0</v>
      </c>
      <c r="AH59" s="17" t="n">
        <f aca="false">G59+SUM(X59:AG59)</f>
        <v>38250082.3232879</v>
      </c>
      <c r="AI59" s="17" t="n">
        <f aca="false">W59-AH59</f>
        <v>19348005.3467073</v>
      </c>
      <c r="AJ59" s="17" t="n">
        <f aca="false">AJ58+AI59</f>
        <v>402682991.222425</v>
      </c>
      <c r="AK59" s="17" t="n">
        <f aca="false">O59*Допущения!$E$58*Допущения!$E$59</f>
        <v>891829.203342942</v>
      </c>
      <c r="AL59" s="17" t="n">
        <f aca="false">T59*Допущения!$E$72</f>
        <v>2395899.54813807</v>
      </c>
      <c r="AM59" s="17" t="n">
        <f aca="false">IF(MOD(A59,12)=0,INDEX($F$70:$F$74,B59),0)</f>
        <v>0</v>
      </c>
      <c r="AN59" s="17" t="n">
        <f aca="false">AI59-AM59</f>
        <v>19348005.3467073</v>
      </c>
      <c r="AO59" s="26" t="n">
        <f aca="false">1/(1+Допущения!$E$74)^A59</f>
        <v>0.408677531950384</v>
      </c>
      <c r="AP59" s="21" t="n">
        <f aca="false">IF(AND(A59&gt;Допущения!$E$19,MIN(AI59:AI$65)&gt;0),A59,"")</f>
        <v>54</v>
      </c>
      <c r="AQ59" s="21" t="n">
        <f aca="false">IF(MIN(AJ59:AJ$65)&gt;0,A59,"")</f>
        <v>54</v>
      </c>
    </row>
    <row r="60" customFormat="false" ht="15" hidden="false" customHeight="false" outlineLevel="0" collapsed="false">
      <c r="A60" s="28" t="n">
        <v>55</v>
      </c>
      <c r="B60" s="28" t="n">
        <f aca="false">INT((A60-1)/12)+1</f>
        <v>5</v>
      </c>
      <c r="C60" s="12" t="s">
        <v>462</v>
      </c>
      <c r="D60" s="15" t="n">
        <f aca="false">(1+Допущения!$E$11)^(B60-1)</f>
        <v>1.36048896</v>
      </c>
      <c r="E60" s="15" t="n">
        <f aca="false">(1+Допущения!$E$12)^(B60-1)</f>
        <v>1.31079601</v>
      </c>
      <c r="F60" s="17" t="n">
        <f aca="false">Допущения!$E$71*E60</f>
        <v>4043.1240769248</v>
      </c>
      <c r="G60" s="17" t="n">
        <f aca="false">MIN(G59*(1+Допущения!$E$33),Допущения!$E$34)</f>
        <v>2500000</v>
      </c>
      <c r="H60" s="25" t="n">
        <f aca="false">MIN(Допущения!$E$30,G60/Допущения!$E$29)</f>
        <v>400</v>
      </c>
      <c r="I60" s="25" t="n">
        <f aca="false">MAX(0,G60-H60*Допущения!$E$29)/Допущения!$E$31</f>
        <v>422.222222222222</v>
      </c>
      <c r="J60" s="25" t="n">
        <f aca="false">IF(A60&gt;=Допущения!$E$35,Допущения!$E$36,0)</f>
        <v>60</v>
      </c>
      <c r="K60" s="25" t="n">
        <f aca="false">H60+I60+J60</f>
        <v>882.222222222222</v>
      </c>
      <c r="L60" s="25" t="n">
        <f aca="false">(L59-K59)*(1-Допущения!$E$44)+K59*(1-Допущения!$E$43)+K60</f>
        <v>14456.4955782618</v>
      </c>
      <c r="M60" s="25" t="n">
        <f aca="false">IF(A60&gt;=Допущения!$E$38,Допущения!$E$73/Допущения!$E$42*MIN(Допущения!$E$42,A60-Допущения!$E$38+1),0)</f>
        <v>120</v>
      </c>
      <c r="N60" s="25" t="n">
        <f aca="false">N59*(1-Допущения!$E$45)+M60</f>
        <v>3724.57792389192</v>
      </c>
      <c r="O60" s="25" t="n">
        <f aca="false">L60+N60</f>
        <v>18181.0735021537</v>
      </c>
      <c r="P60" s="25" t="n">
        <f aca="false">L60*Допущения!$E$25</f>
        <v>4336.94867347853</v>
      </c>
      <c r="Q60" s="25" t="n">
        <f aca="false">L60*(1-Допущения!$E$25)+N60</f>
        <v>13844.1248286752</v>
      </c>
      <c r="R60" s="17" t="n">
        <f aca="false">MAX(Допущения!$E$18,ROUNDUP(Q60/Допущения!$E$68+P60/Допущения!$E$69,0))</f>
        <v>164</v>
      </c>
      <c r="S60" s="17" t="n">
        <f aca="false">ROUNDUP(R60/Допущения!$E$48,0)</f>
        <v>14</v>
      </c>
      <c r="T60" s="17" t="n">
        <f aca="false">L60*F60/(1+Допущения!$E$6)</f>
        <v>47909348.6396943</v>
      </c>
      <c r="U60" s="17" t="n">
        <f aca="false">N60*Допущения!$E$28*E60/(1+Допущения!$E$6)</f>
        <v>7963526.34780943</v>
      </c>
      <c r="V60" s="17" t="n">
        <f aca="false">O60*Допущения!$E$26*Допущения!$E$27/(1+Допущения!$E$6)</f>
        <v>2235377.88960906</v>
      </c>
      <c r="W60" s="17" t="n">
        <f aca="false">T60+U60+V60</f>
        <v>58108252.8771128</v>
      </c>
      <c r="X60" s="17" t="n">
        <f aca="false">J60*Допущения!$E$37</f>
        <v>30000</v>
      </c>
      <c r="Y60" s="17" t="n">
        <f aca="false">(R60*Допущения!$E$47+S60*Допущения!$E$49)*D60*Допущения!$E$9</f>
        <v>21610550.836224</v>
      </c>
      <c r="Z60" s="17" t="n">
        <f aca="false">(MAX(0,R60-R59)+R60*Допущения!$E$50/12)*Допущения!$E$51*D60</f>
        <v>485694.55872</v>
      </c>
      <c r="AA60" s="17" t="n">
        <f aca="false">O60*(Допущения!$E$53+Допущения!$E$54)+(L60*F60+N60*Допущения!$E$28*E60)*Допущения!$E$13</f>
        <v>7863060.16301168</v>
      </c>
      <c r="AB60" s="17" t="n">
        <f aca="false">(R60+S60)*Допущения!$E$52</f>
        <v>480600</v>
      </c>
      <c r="AC60" s="17" t="n">
        <f aca="false">SUMPRODUCT(Допущения!$B$84:$B$91,Допущения!$C$84:$C$91,--(Допущения!$D$84:$D$91&lt;=A60))*D60*Допущения!$E$9</f>
        <v>2674748.5051392</v>
      </c>
      <c r="AD60" s="17" t="n">
        <f aca="false">(AC60+Y60)*Допущения!$E$14</f>
        <v>2428529.93413632</v>
      </c>
      <c r="AE60" s="17" t="n">
        <f aca="false">Допущения!$E$55+Допущения!$E$56*O60/1000+Допущения!$E$57</f>
        <v>285448.58801723</v>
      </c>
      <c r="AF60" s="17" t="n">
        <f aca="false">SUMIF(Допущения!$B$95:$B$103,A60,Допущения!$C$95:$C$103)</f>
        <v>0</v>
      </c>
      <c r="AG60" s="17" t="n">
        <v>0</v>
      </c>
      <c r="AH60" s="17" t="n">
        <f aca="false">G60+SUM(X60:AG60)</f>
        <v>38358632.5852484</v>
      </c>
      <c r="AI60" s="17" t="n">
        <f aca="false">W60-AH60</f>
        <v>19749620.2918644</v>
      </c>
      <c r="AJ60" s="17" t="n">
        <f aca="false">AJ59+AI60</f>
        <v>422432611.514289</v>
      </c>
      <c r="AK60" s="17" t="n">
        <f aca="false">O60*Допущения!$E$58*Допущения!$E$59</f>
        <v>899963.138356608</v>
      </c>
      <c r="AL60" s="17" t="n">
        <f aca="false">T60*Допущения!$E$72</f>
        <v>2415597.41040476</v>
      </c>
      <c r="AM60" s="17" t="n">
        <f aca="false">IF(MOD(A60,12)=0,INDEX($F$70:$F$74,B60),0)</f>
        <v>0</v>
      </c>
      <c r="AN60" s="17" t="n">
        <f aca="false">AI60-AM60</f>
        <v>19749620.2918644</v>
      </c>
      <c r="AO60" s="26" t="n">
        <f aca="false">1/(1+Допущения!$E$74)^A60</f>
        <v>0.401961177162772</v>
      </c>
      <c r="AP60" s="21" t="n">
        <f aca="false">IF(AND(A60&gt;Допущения!$E$19,MIN(AI60:AI$65)&gt;0),A60,"")</f>
        <v>55</v>
      </c>
      <c r="AQ60" s="21" t="n">
        <f aca="false">IF(MIN(AJ60:AJ$65)&gt;0,A60,"")</f>
        <v>55</v>
      </c>
    </row>
    <row r="61" customFormat="false" ht="15" hidden="false" customHeight="false" outlineLevel="0" collapsed="false">
      <c r="A61" s="28" t="n">
        <v>56</v>
      </c>
      <c r="B61" s="28" t="n">
        <f aca="false">INT((A61-1)/12)+1</f>
        <v>5</v>
      </c>
      <c r="C61" s="12" t="s">
        <v>462</v>
      </c>
      <c r="D61" s="15" t="n">
        <f aca="false">(1+Допущения!$E$11)^(B61-1)</f>
        <v>1.36048896</v>
      </c>
      <c r="E61" s="15" t="n">
        <f aca="false">(1+Допущения!$E$12)^(B61-1)</f>
        <v>1.31079601</v>
      </c>
      <c r="F61" s="17" t="n">
        <f aca="false">Допущения!$E$71*E61</f>
        <v>4043.1240769248</v>
      </c>
      <c r="G61" s="17" t="n">
        <f aca="false">MIN(G60*(1+Допущения!$E$33),Допущения!$E$34)</f>
        <v>2500000</v>
      </c>
      <c r="H61" s="25" t="n">
        <f aca="false">MIN(Допущения!$E$30,G61/Допущения!$E$29)</f>
        <v>400</v>
      </c>
      <c r="I61" s="25" t="n">
        <f aca="false">MAX(0,G61-H61*Допущения!$E$29)/Допущения!$E$31</f>
        <v>422.222222222222</v>
      </c>
      <c r="J61" s="25" t="n">
        <f aca="false">IF(A61&gt;=Допущения!$E$35,Допущения!$E$36,0)</f>
        <v>60</v>
      </c>
      <c r="K61" s="25" t="n">
        <f aca="false">H61+I61+J61</f>
        <v>882.222222222222</v>
      </c>
      <c r="L61" s="25" t="n">
        <f aca="false">(L60-K60)*(1-Допущения!$E$44)+K60*(1-Допущения!$E$43)+K61</f>
        <v>14569.0754994622</v>
      </c>
      <c r="M61" s="25" t="n">
        <f aca="false">IF(A61&gt;=Допущения!$E$38,Допущения!$E$73/Допущения!$E$42*MIN(Допущения!$E$42,A61-Допущения!$E$38+1),0)</f>
        <v>120</v>
      </c>
      <c r="N61" s="25" t="n">
        <f aca="false">N60*(1-Допущения!$E$45)+M61</f>
        <v>3770.08636541408</v>
      </c>
      <c r="O61" s="25" t="n">
        <f aca="false">L61+N61</f>
        <v>18339.1618648763</v>
      </c>
      <c r="P61" s="25" t="n">
        <f aca="false">L61*Допущения!$E$25</f>
        <v>4370.72264983866</v>
      </c>
      <c r="Q61" s="25" t="n">
        <f aca="false">L61*(1-Допущения!$E$25)+N61</f>
        <v>13968.4392150376</v>
      </c>
      <c r="R61" s="17" t="n">
        <f aca="false">MAX(Допущения!$E$18,ROUNDUP(Q61/Допущения!$E$68+P61/Допущения!$E$69,0))</f>
        <v>165</v>
      </c>
      <c r="S61" s="17" t="n">
        <f aca="false">ROUNDUP(R61/Допущения!$E$48,0)</f>
        <v>14</v>
      </c>
      <c r="T61" s="17" t="n">
        <f aca="false">L61*F61/(1+Допущения!$E$6)</f>
        <v>48282442.5659106</v>
      </c>
      <c r="U61" s="17" t="n">
        <f aca="false">N61*Допущения!$E$28*E61/(1+Допущения!$E$6)</f>
        <v>8060828.02346635</v>
      </c>
      <c r="V61" s="17" t="n">
        <f aca="false">O61*Допущения!$E$26*Допущения!$E$27/(1+Допущения!$E$6)</f>
        <v>2254814.98338643</v>
      </c>
      <c r="W61" s="17" t="n">
        <f aca="false">T61+U61+V61</f>
        <v>58598085.5727634</v>
      </c>
      <c r="X61" s="17" t="n">
        <f aca="false">J61*Допущения!$E$37</f>
        <v>30000</v>
      </c>
      <c r="Y61" s="17" t="n">
        <f aca="false">(R61*Допущения!$E$47+S61*Допущения!$E$49)*D61*Допущения!$E$9</f>
        <v>21725689.0169088</v>
      </c>
      <c r="Z61" s="17" t="n">
        <f aca="false">(MAX(0,R61-R60)+R61*Допущения!$E$50/12)*Допущения!$E$51*D61</f>
        <v>488075.4144</v>
      </c>
      <c r="AA61" s="17" t="n">
        <f aca="false">O61*(Допущения!$E$53+Допущения!$E$54)+(L61*F61+N61*Допущения!$E$28*E61)*Допущения!$E$13</f>
        <v>7931092.30282256</v>
      </c>
      <c r="AB61" s="17" t="n">
        <f aca="false">(R61+S61)*Допущения!$E$52</f>
        <v>483300</v>
      </c>
      <c r="AC61" s="17" t="n">
        <f aca="false">SUMPRODUCT(Допущения!$B$84:$B$91,Допущения!$C$84:$C$91,--(Допущения!$D$84:$D$91&lt;=A61))*D61*Допущения!$E$9</f>
        <v>2674748.5051392</v>
      </c>
      <c r="AD61" s="17" t="n">
        <f aca="false">(AC61+Y61)*Допущения!$E$14</f>
        <v>2440043.7522048</v>
      </c>
      <c r="AE61" s="17" t="n">
        <f aca="false">Допущения!$E$55+Допущения!$E$56*O61/1000+Допущения!$E$57</f>
        <v>286713.29491901</v>
      </c>
      <c r="AF61" s="17" t="n">
        <f aca="false">SUMIF(Допущения!$B$95:$B$103,A61,Допущения!$C$95:$C$103)</f>
        <v>0</v>
      </c>
      <c r="AG61" s="17" t="n">
        <v>0</v>
      </c>
      <c r="AH61" s="17" t="n">
        <f aca="false">G61+SUM(X61:AG61)</f>
        <v>38559662.2863944</v>
      </c>
      <c r="AI61" s="17" t="n">
        <f aca="false">W61-AH61</f>
        <v>20038423.286369</v>
      </c>
      <c r="AJ61" s="17" t="n">
        <f aca="false">AJ60+AI61</f>
        <v>442471034.800658</v>
      </c>
      <c r="AK61" s="17" t="n">
        <f aca="false">O61*Допущения!$E$58*Допущения!$E$59</f>
        <v>907788.512311376</v>
      </c>
      <c r="AL61" s="17" t="n">
        <f aca="false">T61*Допущения!$E$72</f>
        <v>2434408.86886944</v>
      </c>
      <c r="AM61" s="17" t="n">
        <f aca="false">IF(MOD(A61,12)=0,INDEX($F$70:$F$74,B61),0)</f>
        <v>0</v>
      </c>
      <c r="AN61" s="17" t="n">
        <f aca="false">AI61-AM61</f>
        <v>20038423.286369</v>
      </c>
      <c r="AO61" s="26" t="n">
        <f aca="false">1/(1+Допущения!$E$74)^A61</f>
        <v>0.395355201385764</v>
      </c>
      <c r="AP61" s="21" t="n">
        <f aca="false">IF(AND(A61&gt;Допущения!$E$19,MIN(AI61:AI$65)&gt;0),A61,"")</f>
        <v>56</v>
      </c>
      <c r="AQ61" s="21" t="n">
        <f aca="false">IF(MIN(AJ61:AJ$65)&gt;0,A61,"")</f>
        <v>56</v>
      </c>
    </row>
    <row r="62" customFormat="false" ht="15" hidden="false" customHeight="false" outlineLevel="0" collapsed="false">
      <c r="A62" s="28" t="n">
        <v>57</v>
      </c>
      <c r="B62" s="28" t="n">
        <f aca="false">INT((A62-1)/12)+1</f>
        <v>5</v>
      </c>
      <c r="C62" s="12" t="s">
        <v>462</v>
      </c>
      <c r="D62" s="15" t="n">
        <f aca="false">(1+Допущения!$E$11)^(B62-1)</f>
        <v>1.36048896</v>
      </c>
      <c r="E62" s="15" t="n">
        <f aca="false">(1+Допущения!$E$12)^(B62-1)</f>
        <v>1.31079601</v>
      </c>
      <c r="F62" s="17" t="n">
        <f aca="false">Допущения!$E$71*E62</f>
        <v>4043.1240769248</v>
      </c>
      <c r="G62" s="17" t="n">
        <f aca="false">MIN(G61*(1+Допущения!$E$33),Допущения!$E$34)</f>
        <v>2500000</v>
      </c>
      <c r="H62" s="25" t="n">
        <f aca="false">MIN(Допущения!$E$30,G62/Допущения!$E$29)</f>
        <v>400</v>
      </c>
      <c r="I62" s="25" t="n">
        <f aca="false">MAX(0,G62-H62*Допущения!$E$29)/Допущения!$E$31</f>
        <v>422.222222222222</v>
      </c>
      <c r="J62" s="25" t="n">
        <f aca="false">IF(A62&gt;=Допущения!$E$35,Допущения!$E$36,0)</f>
        <v>60</v>
      </c>
      <c r="K62" s="25" t="n">
        <f aca="false">H62+I62+J62</f>
        <v>882.222222222222</v>
      </c>
      <c r="L62" s="25" t="n">
        <f aca="false">(L61-K61)*(1-Допущения!$E$44)+K61*(1-Допущения!$E$43)+K62</f>
        <v>14676.5893242086</v>
      </c>
      <c r="M62" s="25" t="n">
        <f aca="false">IF(A62&gt;=Допущения!$E$38,Допущения!$E$73/Допущения!$E$42*MIN(Допущения!$E$42,A62-Допущения!$E$38+1),0)</f>
        <v>120</v>
      </c>
      <c r="N62" s="25" t="n">
        <f aca="false">N61*(1-Допущения!$E$45)+M62</f>
        <v>3814.6846381058</v>
      </c>
      <c r="O62" s="25" t="n">
        <f aca="false">L62+N62</f>
        <v>18491.2739623144</v>
      </c>
      <c r="P62" s="25" t="n">
        <f aca="false">L62*Допущения!$E$25</f>
        <v>4402.97679726259</v>
      </c>
      <c r="Q62" s="25" t="n">
        <f aca="false">L62*(1-Допущения!$E$25)+N62</f>
        <v>14088.2971650518</v>
      </c>
      <c r="R62" s="17" t="n">
        <f aca="false">MAX(Допущения!$E$18,ROUNDUP(Q62/Допущения!$E$68+P62/Допущения!$E$69,0))</f>
        <v>167</v>
      </c>
      <c r="S62" s="17" t="n">
        <f aca="false">ROUNDUP(R62/Допущения!$E$48,0)</f>
        <v>14</v>
      </c>
      <c r="T62" s="17" t="n">
        <f aca="false">L62*F62/(1+Допущения!$E$6)</f>
        <v>48638747.2654471</v>
      </c>
      <c r="U62" s="17" t="n">
        <f aca="false">N62*Допущения!$E$28*E62/(1+Допущения!$E$6)</f>
        <v>8156183.66561014</v>
      </c>
      <c r="V62" s="17" t="n">
        <f aca="false">O62*Допущения!$E$26*Допущения!$E$27/(1+Допущения!$E$6)</f>
        <v>2273517.2904485</v>
      </c>
      <c r="W62" s="17" t="n">
        <f aca="false">T62+U62+V62</f>
        <v>59068448.2215057</v>
      </c>
      <c r="X62" s="17" t="n">
        <f aca="false">J62*Допущения!$E$37</f>
        <v>30000</v>
      </c>
      <c r="Y62" s="17" t="n">
        <f aca="false">(R62*Допущения!$E$47+S62*Допущения!$E$49)*D62*Допущения!$E$9</f>
        <v>21955965.3782784</v>
      </c>
      <c r="Z62" s="17" t="n">
        <f aca="false">(MAX(0,R62-R61)+R62*Допущения!$E$50/12)*Допущения!$E$51*D62</f>
        <v>588071.35296</v>
      </c>
      <c r="AA62" s="17" t="n">
        <f aca="false">O62*(Допущения!$E$53+Допущения!$E$54)+(L62*F62+N62*Допущения!$E$28*E62)*Допущения!$E$13</f>
        <v>7996531.67949078</v>
      </c>
      <c r="AB62" s="17" t="n">
        <f aca="false">(R62+S62)*Допущения!$E$52</f>
        <v>488700</v>
      </c>
      <c r="AC62" s="17" t="n">
        <f aca="false">SUMPRODUCT(Допущения!$B$84:$B$91,Допущения!$C$84:$C$91,--(Допущения!$D$84:$D$91&lt;=A62))*D62*Допущения!$E$9</f>
        <v>2674748.5051392</v>
      </c>
      <c r="AD62" s="17" t="n">
        <f aca="false">(AC62+Y62)*Допущения!$E$14</f>
        <v>2463071.38834176</v>
      </c>
      <c r="AE62" s="17" t="n">
        <f aca="false">Допущения!$E$55+Допущения!$E$56*O62/1000+Допущения!$E$57</f>
        <v>287930.191698515</v>
      </c>
      <c r="AF62" s="17" t="n">
        <f aca="false">SUMIF(Допущения!$B$95:$B$103,A62,Допущения!$C$95:$C$103)</f>
        <v>0</v>
      </c>
      <c r="AG62" s="17" t="n">
        <v>0</v>
      </c>
      <c r="AH62" s="17" t="n">
        <f aca="false">G62+SUM(X62:AG62)</f>
        <v>38985018.4959087</v>
      </c>
      <c r="AI62" s="17" t="n">
        <f aca="false">W62-AH62</f>
        <v>20083429.725597</v>
      </c>
      <c r="AJ62" s="17" t="n">
        <f aca="false">AJ61+AI62</f>
        <v>462554464.526255</v>
      </c>
      <c r="AK62" s="17" t="n">
        <f aca="false">O62*Допущения!$E$58*Допущения!$E$59</f>
        <v>915318.061134564</v>
      </c>
      <c r="AL62" s="17" t="n">
        <f aca="false">T62*Допущения!$E$72</f>
        <v>2452373.81170321</v>
      </c>
      <c r="AM62" s="17" t="n">
        <f aca="false">IF(MOD(A62,12)=0,INDEX($F$70:$F$74,B62),0)</f>
        <v>0</v>
      </c>
      <c r="AN62" s="17" t="n">
        <f aca="false">AI62-AM62</f>
        <v>20083429.725597</v>
      </c>
      <c r="AO62" s="26" t="n">
        <f aca="false">1/(1+Допущения!$E$74)^A62</f>
        <v>0.388857790610666</v>
      </c>
      <c r="AP62" s="21" t="n">
        <f aca="false">IF(AND(A62&gt;Допущения!$E$19,MIN(AI62:AI$65)&gt;0),A62,"")</f>
        <v>57</v>
      </c>
      <c r="AQ62" s="21" t="n">
        <f aca="false">IF(MIN(AJ62:AJ$65)&gt;0,A62,"")</f>
        <v>57</v>
      </c>
    </row>
    <row r="63" customFormat="false" ht="15" hidden="false" customHeight="false" outlineLevel="0" collapsed="false">
      <c r="A63" s="28" t="n">
        <v>58</v>
      </c>
      <c r="B63" s="28" t="n">
        <f aca="false">INT((A63-1)/12)+1</f>
        <v>5</v>
      </c>
      <c r="C63" s="12" t="s">
        <v>462</v>
      </c>
      <c r="D63" s="15" t="n">
        <f aca="false">(1+Допущения!$E$11)^(B63-1)</f>
        <v>1.36048896</v>
      </c>
      <c r="E63" s="15" t="n">
        <f aca="false">(1+Допущения!$E$12)^(B63-1)</f>
        <v>1.31079601</v>
      </c>
      <c r="F63" s="17" t="n">
        <f aca="false">Допущения!$E$71*E63</f>
        <v>4043.1240769248</v>
      </c>
      <c r="G63" s="17" t="n">
        <f aca="false">MIN(G62*(1+Допущения!$E$33),Допущения!$E$34)</f>
        <v>2500000</v>
      </c>
      <c r="H63" s="25" t="n">
        <f aca="false">MIN(Допущения!$E$30,G63/Допущения!$E$29)</f>
        <v>400</v>
      </c>
      <c r="I63" s="25" t="n">
        <f aca="false">MAX(0,G63-H63*Допущения!$E$29)/Допущения!$E$31</f>
        <v>422.222222222222</v>
      </c>
      <c r="J63" s="25" t="n">
        <f aca="false">IF(A63&gt;=Допущения!$E$35,Допущения!$E$36,0)</f>
        <v>60</v>
      </c>
      <c r="K63" s="25" t="n">
        <f aca="false">H63+I63+J63</f>
        <v>882.222222222222</v>
      </c>
      <c r="L63" s="25" t="n">
        <f aca="false">(L62-K62)*(1-Допущения!$E$44)+K62*(1-Допущения!$E$43)+K63</f>
        <v>14779.2650268415</v>
      </c>
      <c r="M63" s="25" t="n">
        <f aca="false">IF(A63&gt;=Допущения!$E$38,Допущения!$E$73/Допущения!$E$42*MIN(Допущения!$E$42,A63-Допущения!$E$38+1),0)</f>
        <v>120</v>
      </c>
      <c r="N63" s="25" t="n">
        <f aca="false">N62*(1-Допущения!$E$45)+M63</f>
        <v>3858.39094534368</v>
      </c>
      <c r="O63" s="25" t="n">
        <f aca="false">L63+N63</f>
        <v>18637.6559721851</v>
      </c>
      <c r="P63" s="25" t="n">
        <f aca="false">L63*Допущения!$E$25</f>
        <v>4433.77950805244</v>
      </c>
      <c r="Q63" s="25" t="n">
        <f aca="false">L63*(1-Допущения!$E$25)+N63</f>
        <v>14203.8764641327</v>
      </c>
      <c r="R63" s="17" t="n">
        <f aca="false">MAX(Допущения!$E$18,ROUNDUP(Q63/Допущения!$E$68+P63/Допущения!$E$69,0))</f>
        <v>168</v>
      </c>
      <c r="S63" s="17" t="n">
        <f aca="false">ROUNDUP(R63/Допущения!$E$48,0)</f>
        <v>14</v>
      </c>
      <c r="T63" s="17" t="n">
        <f aca="false">L63*F63/(1+Допущения!$E$6)</f>
        <v>48979018.2535044</v>
      </c>
      <c r="U63" s="17" t="n">
        <f aca="false">N63*Допущения!$E$28*E63/(1+Допущения!$E$6)</f>
        <v>8249632.19491105</v>
      </c>
      <c r="V63" s="17" t="n">
        <f aca="false">O63*Допущения!$E$26*Допущения!$E$27/(1+Допущения!$E$6)</f>
        <v>2291515.07854735</v>
      </c>
      <c r="W63" s="17" t="n">
        <f aca="false">T63+U63+V63</f>
        <v>59520165.5269628</v>
      </c>
      <c r="X63" s="17" t="n">
        <f aca="false">J63*Допущения!$E$37</f>
        <v>30000</v>
      </c>
      <c r="Y63" s="17" t="n">
        <f aca="false">(R63*Допущения!$E$47+S63*Допущения!$E$49)*D63*Допущения!$E$9</f>
        <v>22071103.5589632</v>
      </c>
      <c r="Z63" s="17" t="n">
        <f aca="false">(MAX(0,R63-R62)+R63*Допущения!$E$50/12)*Допущения!$E$51*D63</f>
        <v>495217.98144</v>
      </c>
      <c r="AA63" s="17" t="n">
        <f aca="false">O63*(Допущения!$E$53+Допущения!$E$54)+(L63*F63+N63*Допущения!$E$28*E63)*Допущения!$E$13</f>
        <v>8059485.59369478</v>
      </c>
      <c r="AB63" s="17" t="n">
        <f aca="false">(R63+S63)*Допущения!$E$52</f>
        <v>491400</v>
      </c>
      <c r="AC63" s="17" t="n">
        <f aca="false">SUMPRODUCT(Допущения!$B$84:$B$91,Допущения!$C$84:$C$91,--(Допущения!$D$84:$D$91&lt;=A63))*D63*Допущения!$E$9</f>
        <v>2674748.5051392</v>
      </c>
      <c r="AD63" s="17" t="n">
        <f aca="false">(AC63+Y63)*Допущения!$E$14</f>
        <v>2474585.20641024</v>
      </c>
      <c r="AE63" s="17" t="n">
        <f aca="false">Допущения!$E$55+Допущения!$E$56*O63/1000+Допущения!$E$57</f>
        <v>289101.247777481</v>
      </c>
      <c r="AF63" s="17" t="n">
        <f aca="false">SUMIF(Допущения!$B$95:$B$103,A63,Допущения!$C$95:$C$103)</f>
        <v>0</v>
      </c>
      <c r="AG63" s="17" t="n">
        <v>0</v>
      </c>
      <c r="AH63" s="17" t="n">
        <f aca="false">G63+SUM(X63:AG63)</f>
        <v>39085642.0934249</v>
      </c>
      <c r="AI63" s="17" t="n">
        <f aca="false">W63-AH63</f>
        <v>20434523.4335379</v>
      </c>
      <c r="AJ63" s="17" t="n">
        <f aca="false">AJ62+AI63</f>
        <v>482988987.959793</v>
      </c>
      <c r="AK63" s="17" t="n">
        <f aca="false">O63*Допущения!$E$58*Допущения!$E$59</f>
        <v>922563.970623165</v>
      </c>
      <c r="AL63" s="17" t="n">
        <f aca="false">T63*Допущения!$E$72</f>
        <v>2469530.33210947</v>
      </c>
      <c r="AM63" s="17" t="n">
        <f aca="false">IF(MOD(A63,12)=0,INDEX($F$70:$F$74,B63),0)</f>
        <v>0</v>
      </c>
      <c r="AN63" s="17" t="n">
        <f aca="false">AI63-AM63</f>
        <v>20434523.4335379</v>
      </c>
      <c r="AO63" s="26" t="n">
        <f aca="false">1/(1+Допущения!$E$74)^A63</f>
        <v>0.38246716064086</v>
      </c>
      <c r="AP63" s="21" t="n">
        <f aca="false">IF(AND(A63&gt;Допущения!$E$19,MIN(AI63:AI$65)&gt;0),A63,"")</f>
        <v>58</v>
      </c>
      <c r="AQ63" s="21" t="n">
        <f aca="false">IF(MIN(AJ63:AJ$65)&gt;0,A63,"")</f>
        <v>58</v>
      </c>
    </row>
    <row r="64" customFormat="false" ht="15" hidden="false" customHeight="false" outlineLevel="0" collapsed="false">
      <c r="A64" s="28" t="n">
        <v>59</v>
      </c>
      <c r="B64" s="28" t="n">
        <f aca="false">INT((A64-1)/12)+1</f>
        <v>5</v>
      </c>
      <c r="C64" s="12" t="s">
        <v>462</v>
      </c>
      <c r="D64" s="15" t="n">
        <f aca="false">(1+Допущения!$E$11)^(B64-1)</f>
        <v>1.36048896</v>
      </c>
      <c r="E64" s="15" t="n">
        <f aca="false">(1+Допущения!$E$12)^(B64-1)</f>
        <v>1.31079601</v>
      </c>
      <c r="F64" s="17" t="n">
        <f aca="false">Допущения!$E$71*E64</f>
        <v>4043.1240769248</v>
      </c>
      <c r="G64" s="17" t="n">
        <f aca="false">MIN(G63*(1+Допущения!$E$33),Допущения!$E$34)</f>
        <v>2500000</v>
      </c>
      <c r="H64" s="25" t="n">
        <f aca="false">MIN(Допущения!$E$30,G64/Допущения!$E$29)</f>
        <v>400</v>
      </c>
      <c r="I64" s="25" t="n">
        <f aca="false">MAX(0,G64-H64*Допущения!$E$29)/Допущения!$E$31</f>
        <v>422.222222222222</v>
      </c>
      <c r="J64" s="25" t="n">
        <f aca="false">IF(A64&gt;=Допущения!$E$35,Допущения!$E$36,0)</f>
        <v>60</v>
      </c>
      <c r="K64" s="25" t="n">
        <f aca="false">H64+I64+J64</f>
        <v>882.222222222222</v>
      </c>
      <c r="L64" s="25" t="n">
        <f aca="false">(L63-K63)*(1-Допущения!$E$44)+K63*(1-Допущения!$E$43)+K64</f>
        <v>14877.3203228558</v>
      </c>
      <c r="M64" s="25" t="n">
        <f aca="false">IF(A64&gt;=Допущения!$E$38,Допущения!$E$73/Допущения!$E$42*MIN(Допущения!$E$42,A64-Допущения!$E$38+1),0)</f>
        <v>120</v>
      </c>
      <c r="N64" s="25" t="n">
        <f aca="false">N63*(1-Допущения!$E$45)+M64</f>
        <v>3901.22312643681</v>
      </c>
      <c r="O64" s="25" t="n">
        <f aca="false">L64+N64</f>
        <v>18778.5434492926</v>
      </c>
      <c r="P64" s="25" t="n">
        <f aca="false">L64*Допущения!$E$25</f>
        <v>4463.19609685675</v>
      </c>
      <c r="Q64" s="25" t="n">
        <f aca="false">L64*(1-Допущения!$E$25)+N64</f>
        <v>14315.3473524359</v>
      </c>
      <c r="R64" s="17" t="n">
        <f aca="false">MAX(Допущения!$E$18,ROUNDUP(Q64/Допущения!$E$68+P64/Допущения!$E$69,0))</f>
        <v>169</v>
      </c>
      <c r="S64" s="17" t="n">
        <f aca="false">ROUNDUP(R64/Допущения!$E$48,0)</f>
        <v>15</v>
      </c>
      <c r="T64" s="17" t="n">
        <f aca="false">L64*F64/(1+Допущения!$E$6)</f>
        <v>49303977.0470992</v>
      </c>
      <c r="U64" s="17" t="n">
        <f aca="false">N64*Допущения!$E$28*E64/(1+Допущения!$E$6)</f>
        <v>8341211.75362595</v>
      </c>
      <c r="V64" s="17" t="n">
        <f aca="false">O64*Допущения!$E$26*Допущения!$E$27/(1+Допущения!$E$6)</f>
        <v>2308837.30933926</v>
      </c>
      <c r="W64" s="17" t="n">
        <f aca="false">T64+U64+V64</f>
        <v>59954026.1100644</v>
      </c>
      <c r="X64" s="17" t="n">
        <f aca="false">J64*Допущения!$E$37</f>
        <v>30000</v>
      </c>
      <c r="Y64" s="17" t="n">
        <f aca="false">(R64*Допущения!$E$47+S64*Допущения!$E$49)*D64*Допущения!$E$9</f>
        <v>22381090.9684992</v>
      </c>
      <c r="Z64" s="17" t="n">
        <f aca="false">(MAX(0,R64-R63)+R64*Допущения!$E$50/12)*Допущения!$E$51*D64</f>
        <v>497598.83712</v>
      </c>
      <c r="AA64" s="17" t="n">
        <f aca="false">O64*(Допущения!$E$53+Допущения!$E$54)+(L64*F64+N64*Допущения!$E$28*E64)*Допущения!$E$13</f>
        <v>8120056.70505573</v>
      </c>
      <c r="AB64" s="17" t="n">
        <f aca="false">(R64+S64)*Допущения!$E$52</f>
        <v>496800</v>
      </c>
      <c r="AC64" s="17" t="n">
        <f aca="false">SUMPRODUCT(Допущения!$B$84:$B$91,Допущения!$C$84:$C$91,--(Допущения!$D$84:$D$91&lt;=A64))*D64*Допущения!$E$9</f>
        <v>2674748.5051392</v>
      </c>
      <c r="AD64" s="17" t="n">
        <f aca="false">(AC64+Y64)*Допущения!$E$14</f>
        <v>2505583.94736384</v>
      </c>
      <c r="AE64" s="17" t="n">
        <f aca="false">Допущения!$E$55+Допущения!$E$56*O64/1000+Допущения!$E$57</f>
        <v>290228.347594341</v>
      </c>
      <c r="AF64" s="17" t="n">
        <f aca="false">SUMIF(Допущения!$B$95:$B$103,A64,Допущения!$C$95:$C$103)</f>
        <v>0</v>
      </c>
      <c r="AG64" s="17" t="n">
        <v>0</v>
      </c>
      <c r="AH64" s="17" t="n">
        <f aca="false">G64+SUM(X64:AG64)</f>
        <v>39496107.3107723</v>
      </c>
      <c r="AI64" s="17" t="n">
        <f aca="false">W64-AH64</f>
        <v>20457918.7992921</v>
      </c>
      <c r="AJ64" s="17" t="n">
        <f aca="false">AJ63+AI64</f>
        <v>503446906.759085</v>
      </c>
      <c r="AK64" s="17" t="n">
        <f aca="false">O64*Допущения!$E$58*Допущения!$E$59</f>
        <v>929537.900739985</v>
      </c>
      <c r="AL64" s="17" t="n">
        <f aca="false">T64*Допущения!$E$72</f>
        <v>2485914.80909744</v>
      </c>
      <c r="AM64" s="17" t="n">
        <f aca="false">IF(MOD(A64,12)=0,INDEX($F$70:$F$74,B64),0)</f>
        <v>0</v>
      </c>
      <c r="AN64" s="17" t="n">
        <f aca="false">AI64-AM64</f>
        <v>20457918.7992921</v>
      </c>
      <c r="AO64" s="26" t="n">
        <f aca="false">1/(1+Допущения!$E$74)^A64</f>
        <v>0.376181556601862</v>
      </c>
      <c r="AP64" s="21" t="n">
        <f aca="false">IF(AND(A64&gt;Допущения!$E$19,MIN(AI64:AI$65)&gt;0),A64,"")</f>
        <v>59</v>
      </c>
      <c r="AQ64" s="21" t="n">
        <f aca="false">IF(MIN(AJ64:AJ$65)&gt;0,A64,"")</f>
        <v>59</v>
      </c>
    </row>
    <row r="65" customFormat="false" ht="15" hidden="false" customHeight="false" outlineLevel="0" collapsed="false">
      <c r="A65" s="28" t="n">
        <v>60</v>
      </c>
      <c r="B65" s="28" t="n">
        <f aca="false">INT((A65-1)/12)+1</f>
        <v>5</v>
      </c>
      <c r="C65" s="12" t="s">
        <v>462</v>
      </c>
      <c r="D65" s="15" t="n">
        <f aca="false">(1+Допущения!$E$11)^(B65-1)</f>
        <v>1.36048896</v>
      </c>
      <c r="E65" s="15" t="n">
        <f aca="false">(1+Допущения!$E$12)^(B65-1)</f>
        <v>1.31079601</v>
      </c>
      <c r="F65" s="17" t="n">
        <f aca="false">Допущения!$E$71*E65</f>
        <v>4043.1240769248</v>
      </c>
      <c r="G65" s="17" t="n">
        <f aca="false">MIN(G64*(1+Допущения!$E$33),Допущения!$E$34)</f>
        <v>2500000</v>
      </c>
      <c r="H65" s="25" t="n">
        <f aca="false">MIN(Допущения!$E$30,G65/Допущения!$E$29)</f>
        <v>400</v>
      </c>
      <c r="I65" s="25" t="n">
        <f aca="false">MAX(0,G65-H65*Допущения!$E$29)/Допущения!$E$31</f>
        <v>422.222222222222</v>
      </c>
      <c r="J65" s="25" t="n">
        <f aca="false">IF(A65&gt;=Допущения!$E$35,Допущения!$E$36,0)</f>
        <v>60</v>
      </c>
      <c r="K65" s="25" t="n">
        <f aca="false">H65+I65+J65</f>
        <v>882.222222222222</v>
      </c>
      <c r="L65" s="25" t="n">
        <f aca="false">(L64-K64)*(1-Допущения!$E$44)+K64*(1-Допущения!$E$43)+K65</f>
        <v>14970.9631305495</v>
      </c>
      <c r="M65" s="25" t="n">
        <f aca="false">IF(A65&gt;=Допущения!$E$38,Допущения!$E$73/Допущения!$E$42*MIN(Допущения!$E$42,A65-Допущения!$E$38+1),0)</f>
        <v>120</v>
      </c>
      <c r="N65" s="25" t="n">
        <f aca="false">N64*(1-Допущения!$E$45)+M65</f>
        <v>3943.19866390807</v>
      </c>
      <c r="O65" s="25" t="n">
        <f aca="false">L65+N65</f>
        <v>18914.1617944576</v>
      </c>
      <c r="P65" s="25" t="n">
        <f aca="false">L65*Допущения!$E$25</f>
        <v>4491.28893916486</v>
      </c>
      <c r="Q65" s="25" t="n">
        <f aca="false">L65*(1-Допущения!$E$25)+N65</f>
        <v>14422.8728552927</v>
      </c>
      <c r="R65" s="17" t="n">
        <f aca="false">MAX(Допущения!$E$18,ROUNDUP(Q65/Допущения!$E$68+P65/Допущения!$E$69,0))</f>
        <v>170</v>
      </c>
      <c r="S65" s="17" t="n">
        <f aca="false">ROUNDUP(R65/Допущения!$E$48,0)</f>
        <v>15</v>
      </c>
      <c r="T65" s="17" t="n">
        <f aca="false">L65*F65/(1+Допущения!$E$6)</f>
        <v>49614312.6949822</v>
      </c>
      <c r="U65" s="17" t="n">
        <f aca="false">N65*Допущения!$E$28*E65/(1+Допущения!$E$6)</f>
        <v>8430959.72116654</v>
      </c>
      <c r="V65" s="17" t="n">
        <f aca="false">O65*Допущения!$E$26*Допущения!$E$27/(1+Допущения!$E$6)</f>
        <v>2325511.69603987</v>
      </c>
      <c r="W65" s="17" t="n">
        <f aca="false">T65+U65+V65</f>
        <v>60370784.1121886</v>
      </c>
      <c r="X65" s="17" t="n">
        <f aca="false">J65*Допущения!$E$37</f>
        <v>30000</v>
      </c>
      <c r="Y65" s="17" t="n">
        <f aca="false">(R65*Допущения!$E$47+S65*Допущения!$E$49)*D65*Допущения!$E$9</f>
        <v>22496229.149184</v>
      </c>
      <c r="Z65" s="17" t="n">
        <f aca="false">(MAX(0,R65-R64)+R65*Допущения!$E$50/12)*Допущения!$E$51*D65</f>
        <v>499979.6928</v>
      </c>
      <c r="AA65" s="17" t="n">
        <f aca="false">O65*(Допущения!$E$53+Допущения!$E$54)+(L65*F65+N65*Допущения!$E$28*E65)*Допущения!$E$13</f>
        <v>8178343.23723565</v>
      </c>
      <c r="AB65" s="17" t="n">
        <f aca="false">(R65+S65)*Допущения!$E$52</f>
        <v>499500</v>
      </c>
      <c r="AC65" s="17" t="n">
        <f aca="false">SUMPRODUCT(Допущения!$B$84:$B$91,Допущения!$C$84:$C$91,--(Допущения!$D$84:$D$91&lt;=A65))*D65*Допущения!$E$9</f>
        <v>2674748.5051392</v>
      </c>
      <c r="AD65" s="17" t="n">
        <f aca="false">(AC65+Y65)*Допущения!$E$14</f>
        <v>2517097.76543232</v>
      </c>
      <c r="AE65" s="17" t="n">
        <f aca="false">Допущения!$E$55+Допущения!$E$56*O65/1000+Допущения!$E$57</f>
        <v>291313.294355661</v>
      </c>
      <c r="AF65" s="17" t="n">
        <f aca="false">SUMIF(Допущения!$B$95:$B$103,A65,Допущения!$C$95:$C$103)</f>
        <v>0</v>
      </c>
      <c r="AG65" s="17" t="n">
        <v>0</v>
      </c>
      <c r="AH65" s="17" t="n">
        <f aca="false">G65+SUM(X65:AG65)</f>
        <v>39687211.6441468</v>
      </c>
      <c r="AI65" s="17" t="n">
        <f aca="false">W65-AH65</f>
        <v>20683572.4680418</v>
      </c>
      <c r="AJ65" s="17" t="n">
        <f aca="false">AJ64+AI65</f>
        <v>524130479.227127</v>
      </c>
      <c r="AK65" s="17" t="n">
        <f aca="false">O65*Допущения!$E$58*Допущения!$E$59</f>
        <v>936251.008825651</v>
      </c>
      <c r="AL65" s="17" t="n">
        <f aca="false">T65*Допущения!$E$72</f>
        <v>2501561.98462095</v>
      </c>
      <c r="AM65" s="17" t="n">
        <f aca="false">IF(MOD(A65,12)=0,INDEX($F$70:$F$74,B65),0)</f>
        <v>58585336.2935325</v>
      </c>
      <c r="AN65" s="17" t="n">
        <f aca="false">AI65-AM65</f>
        <v>-37901763.8254907</v>
      </c>
      <c r="AO65" s="26" t="n">
        <f aca="false">1/(1+Допущения!$E$74)^A65</f>
        <v>0.369999252459433</v>
      </c>
      <c r="AP65" s="21" t="n">
        <f aca="false">IF(AND(A65&gt;Допущения!$E$19,MIN(AI65:AI$65)&gt;0),A65,"")</f>
        <v>60</v>
      </c>
      <c r="AQ65" s="21" t="n">
        <f aca="false">IF(MIN(AJ65:AJ$65)&gt;0,A65,"")</f>
        <v>60</v>
      </c>
    </row>
    <row r="68" customFormat="false" ht="15" hidden="false" customHeight="false" outlineLevel="0" collapsed="false">
      <c r="A68" s="6" t="s">
        <v>463</v>
      </c>
    </row>
    <row r="69" customFormat="false" ht="48" hidden="false" customHeight="true" outlineLevel="0" collapsed="false">
      <c r="A69" s="11" t="s">
        <v>419</v>
      </c>
      <c r="B69" s="11" t="s">
        <v>464</v>
      </c>
      <c r="C69" s="11" t="s">
        <v>452</v>
      </c>
      <c r="D69" s="11" t="s">
        <v>465</v>
      </c>
      <c r="E69" s="11" t="s">
        <v>466</v>
      </c>
      <c r="F69" s="11" t="s">
        <v>456</v>
      </c>
      <c r="G69" s="11" t="s">
        <v>467</v>
      </c>
      <c r="H69" s="11" t="s">
        <v>468</v>
      </c>
    </row>
    <row r="70" customFormat="false" ht="15" hidden="false" customHeight="false" outlineLevel="0" collapsed="false">
      <c r="A70" s="28" t="n">
        <v>1</v>
      </c>
      <c r="B70" s="17" t="n">
        <f aca="false">SUMIF($B$6:$B$65,A70,$W$6:$W$65)</f>
        <v>41038865.5674724</v>
      </c>
      <c r="C70" s="17" t="n">
        <f aca="false">SUMIF($B$6:$B$65,A70,$AI$6:$AI$65)</f>
        <v>-18255992.1468423</v>
      </c>
      <c r="D70" s="17" t="n">
        <v>0</v>
      </c>
      <c r="E70" s="17" t="n">
        <f aca="false">IF(C70&gt;0,MIN(D70,C70*Допущения!$E$8),0)</f>
        <v>0</v>
      </c>
      <c r="F70" s="17" t="n">
        <f aca="false">IF(C70&gt;0,(C70-E70)*Допущения!$E$7,0)</f>
        <v>0</v>
      </c>
      <c r="G70" s="17" t="n">
        <f aca="false">D70+IF(C70&lt;0,-C70,0)-E70</f>
        <v>18255992.1468423</v>
      </c>
      <c r="H70" s="17" t="n">
        <f aca="false">SUMIF($B$6:$B$65,A70,$AK$6:$AK$65)</f>
        <v>790063.787746904</v>
      </c>
    </row>
    <row r="71" customFormat="false" ht="15" hidden="false" customHeight="false" outlineLevel="0" collapsed="false">
      <c r="A71" s="28" t="n">
        <v>2</v>
      </c>
      <c r="B71" s="17" t="n">
        <f aca="false">SUMIF($B$6:$B$65,A71,$W$6:$W$65)</f>
        <v>193222438.422172</v>
      </c>
      <c r="C71" s="17" t="n">
        <f aca="false">SUMIF($B$6:$B$65,A71,$AI$6:$AI$65)</f>
        <v>32437820.6728865</v>
      </c>
      <c r="D71" s="17" t="n">
        <f aca="false">G70</f>
        <v>18255992.1468423</v>
      </c>
      <c r="E71" s="17" t="n">
        <f aca="false">IF(C71&gt;0,MIN(D71,C71*Допущения!$E$8),0)</f>
        <v>16218910.3364433</v>
      </c>
      <c r="F71" s="17" t="n">
        <f aca="false">IF(C71&gt;0,(C71-E71)*Допущения!$E$7,0)</f>
        <v>4054727.58411082</v>
      </c>
      <c r="G71" s="17" t="n">
        <f aca="false">D71+IF(C71&lt;0,-C71,0)-E71</f>
        <v>2037081.81039903</v>
      </c>
      <c r="H71" s="17" t="n">
        <f aca="false">SUMIF($B$6:$B$65,A71,$AK$6:$AK$65)</f>
        <v>3630163.44048981</v>
      </c>
    </row>
    <row r="72" customFormat="false" ht="15" hidden="false" customHeight="false" outlineLevel="0" collapsed="false">
      <c r="A72" s="28" t="n">
        <v>3</v>
      </c>
      <c r="B72" s="17" t="n">
        <f aca="false">SUMIF($B$6:$B$65,A72,$W$6:$W$65)</f>
        <v>384852185.893245</v>
      </c>
      <c r="C72" s="17" t="n">
        <f aca="false">SUMIF($B$6:$B$65,A72,$AI$6:$AI$65)</f>
        <v>100035768.771397</v>
      </c>
      <c r="D72" s="17" t="n">
        <f aca="false">G71</f>
        <v>2037081.81039903</v>
      </c>
      <c r="E72" s="17" t="n">
        <f aca="false">IF(C72&gt;0,MIN(D72,C72*Допущения!$E$8),0)</f>
        <v>2037081.81039903</v>
      </c>
      <c r="F72" s="17" t="n">
        <f aca="false">IF(C72&gt;0,(C72-E72)*Допущения!$E$7,0)</f>
        <v>24499671.7402494</v>
      </c>
      <c r="G72" s="17" t="n">
        <f aca="false">D72+IF(C72&lt;0,-C72,0)-E72</f>
        <v>0</v>
      </c>
      <c r="H72" s="17" t="n">
        <f aca="false">SUMIF($B$6:$B$65,A72,$AK$6:$AK$65)</f>
        <v>6769686.45322441</v>
      </c>
    </row>
    <row r="73" customFormat="false" ht="15" hidden="false" customHeight="false" outlineLevel="0" collapsed="false">
      <c r="A73" s="28" t="n">
        <v>4</v>
      </c>
      <c r="B73" s="17" t="n">
        <f aca="false">SUMIF($B$6:$B$65,A73,$W$6:$W$65)</f>
        <v>559213360.278873</v>
      </c>
      <c r="C73" s="17" t="n">
        <f aca="false">SUMIF($B$6:$B$65,A73,$AI$6:$AI$65)</f>
        <v>175571536.755556</v>
      </c>
      <c r="D73" s="17" t="n">
        <f aca="false">G72</f>
        <v>0</v>
      </c>
      <c r="E73" s="17" t="n">
        <f aca="false">IF(C73&gt;0,MIN(D73,C73*Допущения!$E$8),0)</f>
        <v>0</v>
      </c>
      <c r="F73" s="17" t="n">
        <f aca="false">IF(C73&gt;0,(C73-E73)*Допущения!$E$7,0)</f>
        <v>43892884.188889</v>
      </c>
      <c r="G73" s="17" t="n">
        <f aca="false">D73+IF(C73&lt;0,-C73,0)-E73</f>
        <v>0</v>
      </c>
      <c r="H73" s="17" t="n">
        <f aca="false">SUMIF($B$6:$B$65,A73,$AK$6:$AK$65)</f>
        <v>9217218.14453178</v>
      </c>
    </row>
    <row r="74" customFormat="false" ht="15" hidden="false" customHeight="false" outlineLevel="0" collapsed="false">
      <c r="A74" s="28" t="n">
        <v>5</v>
      </c>
      <c r="B74" s="17" t="n">
        <f aca="false">SUMIF($B$6:$B$65,A74,$W$6:$W$65)</f>
        <v>692778663.036777</v>
      </c>
      <c r="C74" s="17" t="n">
        <f aca="false">SUMIF($B$6:$B$65,A74,$AI$6:$AI$65)</f>
        <v>234341345.17413</v>
      </c>
      <c r="D74" s="17" t="n">
        <f aca="false">G73</f>
        <v>0</v>
      </c>
      <c r="E74" s="17" t="n">
        <f aca="false">IF(C74&gt;0,MIN(D74,C74*Допущения!$E$8),0)</f>
        <v>0</v>
      </c>
      <c r="F74" s="17" t="n">
        <f aca="false">IF(C74&gt;0,(C74-E74)*Допущения!$E$7,0)</f>
        <v>58585336.2935325</v>
      </c>
      <c r="G74" s="17" t="n">
        <f aca="false">D74+IF(C74&lt;0,-C74,0)-E74</f>
        <v>0</v>
      </c>
      <c r="H74" s="17" t="n">
        <f aca="false">SUMIF($B$6:$B$65,A74,$AK$6:$AK$65)</f>
        <v>10728622.832774</v>
      </c>
    </row>
    <row r="75" customFormat="false" ht="15" hidden="false" customHeight="false" outlineLevel="0" collapsed="false">
      <c r="A75" s="3" t="s">
        <v>212</v>
      </c>
      <c r="B75" s="30" t="n">
        <f aca="false">SUM(B70:B74)</f>
        <v>1871105513.19854</v>
      </c>
      <c r="C75" s="30" t="n">
        <f aca="false">SUM(C70:C74)</f>
        <v>524130479.227127</v>
      </c>
      <c r="D75" s="4"/>
      <c r="E75" s="4"/>
      <c r="F75" s="30" t="n">
        <f aca="false">SUM(F70:F74)</f>
        <v>131032619.806782</v>
      </c>
      <c r="G75" s="4"/>
      <c r="H75" s="30" t="n">
        <f aca="false">SUM(H70:H74)</f>
        <v>31135754.6587669</v>
      </c>
    </row>
  </sheetData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&amp;C&amp;"Times New Roman"Лист &amp;P из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5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18" min="11" style="0" width="10"/>
    <col collapsed="false" customWidth="true" hidden="false" outlineLevel="0" max="19" min="19" style="0" width="9"/>
    <col collapsed="false" customWidth="true" hidden="false" outlineLevel="0" max="21" min="20" style="0" width="13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25" min="25" style="0" width="13"/>
    <col collapsed="false" customWidth="true" hidden="false" outlineLevel="0" max="27" min="26" style="0" width="12"/>
    <col collapsed="false" customWidth="true" hidden="false" outlineLevel="0" max="28" min="28" style="0" width="11"/>
    <col collapsed="false" customWidth="true" hidden="false" outlineLevel="0" max="29" min="29" style="0" width="13"/>
    <col collapsed="false" customWidth="true" hidden="false" outlineLevel="0" max="33" min="30" style="0" width="12"/>
    <col collapsed="false" customWidth="true" hidden="false" outlineLevel="0" max="35" min="34" style="0" width="13"/>
    <col collapsed="false" customWidth="true" hidden="false" outlineLevel="0" max="36" min="36" style="0" width="14"/>
    <col collapsed="false" customWidth="true" hidden="false" outlineLevel="0" max="39" min="37" style="0" width="12"/>
    <col collapsed="false" customWidth="true" hidden="false" outlineLevel="0" max="40" min="40" style="0" width="13"/>
    <col collapsed="false" customWidth="true" hidden="false" outlineLevel="0" max="43" min="41" style="0" width="11"/>
  </cols>
  <sheetData>
    <row r="1" customFormat="false" ht="17.35" hidden="false" customHeight="false" outlineLevel="0" collapsed="false">
      <c r="A1" s="10" t="s">
        <v>471</v>
      </c>
    </row>
    <row r="2" customFormat="false" ht="15" hidden="false" customHeight="false" outlineLevel="0" collapsed="false">
      <c r="A2" s="2" t="s">
        <v>418</v>
      </c>
    </row>
    <row r="5" customFormat="false" ht="61.5" hidden="false" customHeight="true" outlineLevel="0" collapsed="false">
      <c r="A5" s="11" t="s">
        <v>207</v>
      </c>
      <c r="B5" s="11" t="s">
        <v>419</v>
      </c>
      <c r="C5" s="11" t="s">
        <v>420</v>
      </c>
      <c r="D5" s="11" t="s">
        <v>421</v>
      </c>
      <c r="E5" s="11" t="s">
        <v>422</v>
      </c>
      <c r="F5" s="11" t="s">
        <v>423</v>
      </c>
      <c r="G5" s="11" t="s">
        <v>424</v>
      </c>
      <c r="H5" s="11" t="s">
        <v>425</v>
      </c>
      <c r="I5" s="11" t="s">
        <v>426</v>
      </c>
      <c r="J5" s="11" t="s">
        <v>427</v>
      </c>
      <c r="K5" s="11" t="s">
        <v>428</v>
      </c>
      <c r="L5" s="11" t="s">
        <v>429</v>
      </c>
      <c r="M5" s="11" t="s">
        <v>430</v>
      </c>
      <c r="N5" s="11" t="s">
        <v>431</v>
      </c>
      <c r="O5" s="11" t="s">
        <v>432</v>
      </c>
      <c r="P5" s="11" t="s">
        <v>433</v>
      </c>
      <c r="Q5" s="11" t="s">
        <v>434</v>
      </c>
      <c r="R5" s="11" t="s">
        <v>435</v>
      </c>
      <c r="S5" s="11" t="s">
        <v>436</v>
      </c>
      <c r="T5" s="11" t="s">
        <v>437</v>
      </c>
      <c r="U5" s="11" t="s">
        <v>438</v>
      </c>
      <c r="V5" s="11" t="s">
        <v>439</v>
      </c>
      <c r="W5" s="11" t="s">
        <v>440</v>
      </c>
      <c r="X5" s="11" t="s">
        <v>441</v>
      </c>
      <c r="Y5" s="11" t="s">
        <v>442</v>
      </c>
      <c r="Z5" s="11" t="s">
        <v>443</v>
      </c>
      <c r="AA5" s="11" t="s">
        <v>444</v>
      </c>
      <c r="AB5" s="11" t="s">
        <v>445</v>
      </c>
      <c r="AC5" s="11" t="s">
        <v>446</v>
      </c>
      <c r="AD5" s="11" t="s">
        <v>447</v>
      </c>
      <c r="AE5" s="11" t="s">
        <v>448</v>
      </c>
      <c r="AF5" s="11" t="s">
        <v>449</v>
      </c>
      <c r="AG5" s="11" t="s">
        <v>450</v>
      </c>
      <c r="AH5" s="11" t="s">
        <v>451</v>
      </c>
      <c r="AI5" s="11" t="s">
        <v>452</v>
      </c>
      <c r="AJ5" s="11" t="s">
        <v>453</v>
      </c>
      <c r="AK5" s="11" t="s">
        <v>454</v>
      </c>
      <c r="AL5" s="11" t="s">
        <v>455</v>
      </c>
      <c r="AM5" s="11" t="s">
        <v>456</v>
      </c>
      <c r="AN5" s="11" t="s">
        <v>457</v>
      </c>
      <c r="AO5" s="11" t="s">
        <v>458</v>
      </c>
      <c r="AP5" s="11" t="s">
        <v>459</v>
      </c>
      <c r="AQ5" s="11" t="s">
        <v>460</v>
      </c>
    </row>
    <row r="6" customFormat="false" ht="15" hidden="false" customHeight="false" outlineLevel="0" collapsed="false">
      <c r="A6" s="28" t="n">
        <v>1</v>
      </c>
      <c r="B6" s="28" t="n">
        <f aca="false">INT((A6-1)/12)+1</f>
        <v>1</v>
      </c>
      <c r="C6" s="12" t="s">
        <v>461</v>
      </c>
      <c r="D6" s="15" t="n">
        <f aca="false">(1+Допущения!$F$11)^(B6-1)</f>
        <v>1</v>
      </c>
      <c r="E6" s="15" t="n">
        <f aca="false">(1+Допущения!$F$12)^(B6-1)</f>
        <v>1</v>
      </c>
      <c r="F6" s="17" t="n">
        <f aca="false">Допущения!$F$71*E6</f>
        <v>2465.68</v>
      </c>
      <c r="G6" s="17" t="n">
        <v>0</v>
      </c>
      <c r="H6" s="25" t="n">
        <v>0</v>
      </c>
      <c r="I6" s="25" t="n">
        <v>0</v>
      </c>
      <c r="J6" s="25" t="n">
        <v>0</v>
      </c>
      <c r="K6" s="25" t="n">
        <f aca="false">Допущения!$B$78-0</f>
        <v>0</v>
      </c>
      <c r="L6" s="25" t="n">
        <f aca="false">Допущения!$B$78</f>
        <v>0</v>
      </c>
      <c r="M6" s="25" t="n">
        <v>0</v>
      </c>
      <c r="N6" s="25" t="n">
        <v>0</v>
      </c>
      <c r="O6" s="25" t="n">
        <f aca="false">L6+N6</f>
        <v>0</v>
      </c>
      <c r="P6" s="25" t="n">
        <f aca="false">L6*Допущения!$F$25</f>
        <v>0</v>
      </c>
      <c r="Q6" s="25" t="n">
        <f aca="false">L6*(1-Допущения!$F$25)+N6</f>
        <v>0</v>
      </c>
      <c r="R6" s="17" t="n">
        <f aca="false">IF(A6&gt;1,Допущения!$F$18,0)</f>
        <v>0</v>
      </c>
      <c r="S6" s="17" t="n">
        <v>0</v>
      </c>
      <c r="T6" s="17" t="n">
        <f aca="false">L6*Допущения!$F$60*F6/(1+Допущения!$F$6)</f>
        <v>0</v>
      </c>
      <c r="U6" s="17" t="n">
        <f aca="false">N6*Допущения!$F$28*E6/(1+Допущения!$F$6)</f>
        <v>0</v>
      </c>
      <c r="V6" s="17" t="n">
        <f aca="false">O6*Допущения!$F$26*Допущения!$F$27/(1+Допущения!$F$6)</f>
        <v>0</v>
      </c>
      <c r="W6" s="17" t="n">
        <f aca="false">T6+U6+V6</f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f aca="false">'Бюджет MVP'!$G$33/Допущения!$F$19</f>
        <v>1624654.66666667</v>
      </c>
      <c r="AH6" s="17" t="n">
        <f aca="false">G6+SUM(X6:AG6)</f>
        <v>1624654.66666667</v>
      </c>
      <c r="AI6" s="17" t="n">
        <f aca="false">W6-AH6</f>
        <v>-1624654.66666667</v>
      </c>
      <c r="AJ6" s="17" t="n">
        <f aca="false">AI6</f>
        <v>-1624654.66666667</v>
      </c>
      <c r="AK6" s="17" t="n">
        <v>0</v>
      </c>
      <c r="AL6" s="17" t="n">
        <f aca="false">T6*Допущения!$F$72</f>
        <v>0</v>
      </c>
      <c r="AM6" s="17" t="n">
        <f aca="false">IF(MOD(A6,12)=0,INDEX($F$70:$F$74,B6),0)</f>
        <v>0</v>
      </c>
      <c r="AN6" s="17" t="n">
        <f aca="false">AI6-AM6</f>
        <v>-1624654.66666667</v>
      </c>
      <c r="AO6" s="26" t="n">
        <f aca="false">1/(1+Допущения!$F$74)^A6</f>
        <v>0.983565637299512</v>
      </c>
      <c r="AP6" s="21" t="str">
        <f aca="false">IF(AND(A6&gt;Допущения!$F$19,MIN(AI6:AI$65)&gt;0),A6,"")</f>
        <v/>
      </c>
      <c r="AQ6" s="21" t="str">
        <f aca="false">IF(MIN(AJ6:AJ$65)&gt;0,A6,"")</f>
        <v/>
      </c>
    </row>
    <row r="7" customFormat="false" ht="15" hidden="false" customHeight="false" outlineLevel="0" collapsed="false">
      <c r="A7" s="28" t="n">
        <v>2</v>
      </c>
      <c r="B7" s="28" t="n">
        <f aca="false">INT((A7-1)/12)+1</f>
        <v>1</v>
      </c>
      <c r="C7" s="12" t="s">
        <v>461</v>
      </c>
      <c r="D7" s="15" t="n">
        <f aca="false">(1+Допущения!$F$11)^(B7-1)</f>
        <v>1</v>
      </c>
      <c r="E7" s="15" t="n">
        <f aca="false">(1+Допущения!$F$12)^(B7-1)</f>
        <v>1</v>
      </c>
      <c r="F7" s="17" t="n">
        <f aca="false">Допущения!$F$71*E7</f>
        <v>2465.68</v>
      </c>
      <c r="G7" s="17" t="n">
        <v>0</v>
      </c>
      <c r="H7" s="25" t="n">
        <v>0</v>
      </c>
      <c r="I7" s="25" t="n">
        <v>0</v>
      </c>
      <c r="J7" s="25" t="n">
        <v>0</v>
      </c>
      <c r="K7" s="25" t="n">
        <f aca="false">Допущения!$B$79-Допущения!$B$78</f>
        <v>50</v>
      </c>
      <c r="L7" s="25" t="n">
        <f aca="false">Допущения!$B$79</f>
        <v>50</v>
      </c>
      <c r="M7" s="25" t="n">
        <v>0</v>
      </c>
      <c r="N7" s="25" t="n">
        <v>0</v>
      </c>
      <c r="O7" s="25" t="n">
        <f aca="false">L7+N7</f>
        <v>50</v>
      </c>
      <c r="P7" s="25" t="n">
        <f aca="false">L7*Допущения!$F$25</f>
        <v>15</v>
      </c>
      <c r="Q7" s="25" t="n">
        <f aca="false">L7*(1-Допущения!$F$25)+N7</f>
        <v>35</v>
      </c>
      <c r="R7" s="17" t="n">
        <f aca="false">IF(A7&gt;1,Допущения!$F$18,0)</f>
        <v>3</v>
      </c>
      <c r="S7" s="17" t="n">
        <v>0</v>
      </c>
      <c r="T7" s="17" t="n">
        <f aca="false">L7*Допущения!$F$60*F7/(1+Допущения!$F$6)</f>
        <v>60631.4754098361</v>
      </c>
      <c r="U7" s="17" t="n">
        <f aca="false">N7*Допущения!$F$28*E7/(1+Допущения!$F$6)</f>
        <v>0</v>
      </c>
      <c r="V7" s="17" t="n">
        <f aca="false">O7*Допущения!$F$26*Допущения!$F$27/(1+Допущения!$F$6)</f>
        <v>6147.54098360656</v>
      </c>
      <c r="W7" s="17" t="n">
        <f aca="false">T7+U7+V7</f>
        <v>66779.0163934426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f aca="false">'Бюджет MVP'!$G$33/Допущения!$F$19</f>
        <v>1624654.66666667</v>
      </c>
      <c r="AH7" s="17" t="n">
        <f aca="false">G7+SUM(X7:AG7)</f>
        <v>1624654.66666667</v>
      </c>
      <c r="AI7" s="17" t="n">
        <f aca="false">W7-AH7</f>
        <v>-1557875.65027322</v>
      </c>
      <c r="AJ7" s="17" t="n">
        <f aca="false">AJ6+AI7</f>
        <v>-3182530.31693989</v>
      </c>
      <c r="AK7" s="17" t="n">
        <v>0</v>
      </c>
      <c r="AL7" s="17" t="n">
        <f aca="false">T7*Допущения!$F$72</f>
        <v>3057.04918032787</v>
      </c>
      <c r="AM7" s="17" t="n">
        <f aca="false">IF(MOD(A7,12)=0,INDEX($F$70:$F$74,B7),0)</f>
        <v>0</v>
      </c>
      <c r="AN7" s="17" t="n">
        <f aca="false">AI7-AM7</f>
        <v>-1557875.65027322</v>
      </c>
      <c r="AO7" s="26" t="n">
        <f aca="false">1/(1+Допущения!$F$74)^A7</f>
        <v>0.967401362876396</v>
      </c>
      <c r="AP7" s="21" t="str">
        <f aca="false">IF(AND(A7&gt;Допущения!$F$19,MIN(AI7:AI$65)&gt;0),A7,"")</f>
        <v/>
      </c>
      <c r="AQ7" s="21" t="str">
        <f aca="false">IF(MIN(AJ7:AJ$65)&gt;0,A7,"")</f>
        <v/>
      </c>
    </row>
    <row r="8" customFormat="false" ht="15" hidden="false" customHeight="false" outlineLevel="0" collapsed="false">
      <c r="A8" s="28" t="n">
        <v>3</v>
      </c>
      <c r="B8" s="28" t="n">
        <f aca="false">INT((A8-1)/12)+1</f>
        <v>1</v>
      </c>
      <c r="C8" s="12" t="s">
        <v>461</v>
      </c>
      <c r="D8" s="15" t="n">
        <f aca="false">(1+Допущения!$F$11)^(B8-1)</f>
        <v>1</v>
      </c>
      <c r="E8" s="15" t="n">
        <f aca="false">(1+Допущения!$F$12)^(B8-1)</f>
        <v>1</v>
      </c>
      <c r="F8" s="17" t="n">
        <f aca="false">Допущения!$F$71*E8</f>
        <v>2465.68</v>
      </c>
      <c r="G8" s="17" t="n">
        <v>0</v>
      </c>
      <c r="H8" s="25" t="n">
        <v>0</v>
      </c>
      <c r="I8" s="25" t="n">
        <v>0</v>
      </c>
      <c r="J8" s="25" t="n">
        <v>0</v>
      </c>
      <c r="K8" s="25" t="n">
        <f aca="false">Допущения!$B$80-Допущения!$B$79</f>
        <v>100</v>
      </c>
      <c r="L8" s="25" t="n">
        <f aca="false">Допущения!$B$80</f>
        <v>150</v>
      </c>
      <c r="M8" s="25" t="n">
        <v>0</v>
      </c>
      <c r="N8" s="25" t="n">
        <v>0</v>
      </c>
      <c r="O8" s="25" t="n">
        <f aca="false">L8+N8</f>
        <v>150</v>
      </c>
      <c r="P8" s="25" t="n">
        <f aca="false">L8*Допущения!$F$25</f>
        <v>45</v>
      </c>
      <c r="Q8" s="25" t="n">
        <f aca="false">L8*(1-Допущения!$F$25)+N8</f>
        <v>105</v>
      </c>
      <c r="R8" s="17" t="n">
        <f aca="false">IF(A8&gt;1,Допущения!$F$18,0)</f>
        <v>3</v>
      </c>
      <c r="S8" s="17" t="n">
        <v>0</v>
      </c>
      <c r="T8" s="17" t="n">
        <f aca="false">L8*Допущения!$F$60*F8/(1+Допущения!$F$6)</f>
        <v>181894.426229508</v>
      </c>
      <c r="U8" s="17" t="n">
        <f aca="false">N8*Допущения!$F$28*E8/(1+Допущения!$F$6)</f>
        <v>0</v>
      </c>
      <c r="V8" s="17" t="n">
        <f aca="false">O8*Допущения!$F$26*Допущения!$F$27/(1+Допущения!$F$6)</f>
        <v>18442.6229508197</v>
      </c>
      <c r="W8" s="17" t="n">
        <f aca="false">T8+U8+V8</f>
        <v>200337.049180328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f aca="false">'Бюджет MVP'!$G$33/Допущения!$F$19</f>
        <v>1624654.66666667</v>
      </c>
      <c r="AH8" s="17" t="n">
        <f aca="false">G8+SUM(X8:AG8)</f>
        <v>1624654.66666667</v>
      </c>
      <c r="AI8" s="17" t="n">
        <f aca="false">W8-AH8</f>
        <v>-1424317.61748634</v>
      </c>
      <c r="AJ8" s="17" t="n">
        <f aca="false">AJ7+AI8</f>
        <v>-4606847.93442623</v>
      </c>
      <c r="AK8" s="17" t="n">
        <v>0</v>
      </c>
      <c r="AL8" s="17" t="n">
        <f aca="false">T8*Допущения!$F$72</f>
        <v>9171.14754098361</v>
      </c>
      <c r="AM8" s="17" t="n">
        <f aca="false">IF(MOD(A8,12)=0,INDEX($F$70:$F$74,B8),0)</f>
        <v>0</v>
      </c>
      <c r="AN8" s="17" t="n">
        <f aca="false">AI8-AM8</f>
        <v>-1424317.61748634</v>
      </c>
      <c r="AO8" s="26" t="n">
        <f aca="false">1/(1+Допущения!$F$74)^A8</f>
        <v>0.951502738001939</v>
      </c>
      <c r="AP8" s="21" t="str">
        <f aca="false">IF(AND(A8&gt;Допущения!$F$19,MIN(AI8:AI$65)&gt;0),A8,"")</f>
        <v/>
      </c>
      <c r="AQ8" s="21" t="str">
        <f aca="false">IF(MIN(AJ8:AJ$65)&gt;0,A8,"")</f>
        <v/>
      </c>
    </row>
    <row r="9" customFormat="false" ht="15" hidden="false" customHeight="false" outlineLevel="0" collapsed="false">
      <c r="A9" s="28" t="n">
        <v>4</v>
      </c>
      <c r="B9" s="28" t="n">
        <f aca="false">INT((A9-1)/12)+1</f>
        <v>1</v>
      </c>
      <c r="C9" s="12" t="s">
        <v>462</v>
      </c>
      <c r="D9" s="15" t="n">
        <f aca="false">(1+Допущения!$F$11)^(B9-1)</f>
        <v>1</v>
      </c>
      <c r="E9" s="15" t="n">
        <f aca="false">(1+Допущения!$F$12)^(B9-1)</f>
        <v>1</v>
      </c>
      <c r="F9" s="17" t="n">
        <f aca="false">Допущения!$F$71*E9</f>
        <v>2465.68</v>
      </c>
      <c r="G9" s="17" t="n">
        <f aca="false">Допущения!$F$32</f>
        <v>400000</v>
      </c>
      <c r="H9" s="25" t="n">
        <f aca="false">MIN(Допущения!$F$30,G9/Допущения!$F$29)</f>
        <v>266.666666666667</v>
      </c>
      <c r="I9" s="25" t="n">
        <f aca="false">MAX(0,G9-H9*Допущения!$F$29)/Допущения!$F$31</f>
        <v>0</v>
      </c>
      <c r="J9" s="25" t="n">
        <f aca="false">IF(A9&gt;=Допущения!$F$35,Допущения!$F$36,0)</f>
        <v>0</v>
      </c>
      <c r="K9" s="25" t="n">
        <f aca="false">H9+I9+J9</f>
        <v>266.666666666667</v>
      </c>
      <c r="L9" s="25" t="n">
        <f aca="false">(L8-K8)*(1-Допущения!$F$44)+K8*(1-Допущения!$F$43)+K9</f>
        <v>388.666666666667</v>
      </c>
      <c r="M9" s="25" t="n">
        <f aca="false">IF(A9&gt;=Допущения!$F$38,Допущения!$F$73/Допущения!$F$42*MIN(Допущения!$F$42,A9-Допущения!$F$38+1),0)</f>
        <v>0</v>
      </c>
      <c r="N9" s="25" t="n">
        <f aca="false">N8*(1-Допущения!$F$45)+M9</f>
        <v>0</v>
      </c>
      <c r="O9" s="25" t="n">
        <f aca="false">L9+N9</f>
        <v>388.666666666667</v>
      </c>
      <c r="P9" s="25" t="n">
        <f aca="false">L9*Допущения!$F$25</f>
        <v>116.6</v>
      </c>
      <c r="Q9" s="25" t="n">
        <f aca="false">L9*(1-Допущения!$F$25)+N9</f>
        <v>272.066666666667</v>
      </c>
      <c r="R9" s="17" t="n">
        <f aca="false">MAX(Допущения!$F$18,ROUNDUP(Q9/Допущения!$F$68+P9/Допущения!$F$69,0))</f>
        <v>6</v>
      </c>
      <c r="S9" s="17" t="n">
        <f aca="false">ROUNDUP(R9/Допущения!$F$48,0)</f>
        <v>1</v>
      </c>
      <c r="T9" s="17" t="n">
        <f aca="false">L9*F9/(1+Допущения!$F$6)</f>
        <v>785514.448087432</v>
      </c>
      <c r="U9" s="17" t="n">
        <f aca="false">N9*Допущения!$F$28*E9/(1+Допущения!$F$6)</f>
        <v>0</v>
      </c>
      <c r="V9" s="17" t="n">
        <f aca="false">O9*Допущения!$F$26*Допущения!$F$27/(1+Допущения!$F$6)</f>
        <v>47786.8852459016</v>
      </c>
      <c r="W9" s="17" t="n">
        <f aca="false">T9+U9+V9</f>
        <v>833301.333333333</v>
      </c>
      <c r="X9" s="17" t="n">
        <f aca="false">J9*Допущения!$F$37</f>
        <v>0</v>
      </c>
      <c r="Y9" s="17" t="n">
        <f aca="false">(R9*Допущения!$F$47+S9*Допущения!$F$49)*D9*Допущения!$F$9</f>
        <v>833280</v>
      </c>
      <c r="Z9" s="17" t="n">
        <f aca="false">(MAX(0,R9-R8)+R9*Допущения!$F$50/12)*Допущения!$F$51*D9</f>
        <v>244125</v>
      </c>
      <c r="AA9" s="17" t="n">
        <f aca="false">O9*(Допущения!$F$53+Допущения!$F$54)+(L9*F9+N9*Допущения!$F$28*E9)*Допущения!$F$13</f>
        <v>190206.563946667</v>
      </c>
      <c r="AB9" s="17" t="n">
        <f aca="false">(R9+S9)*Допущения!$F$52</f>
        <v>18900</v>
      </c>
      <c r="AC9" s="17" t="n">
        <f aca="false">SUMPRODUCT(Допущения!$B$84:$B$91,Допущения!$C$84:$C$91,--(Допущения!$D$84:$D$91&lt;=A9))*D9*Допущения!$F$9</f>
        <v>1132740</v>
      </c>
      <c r="AD9" s="17" t="n">
        <f aca="false">(AC9+Y9)*Допущения!$F$14</f>
        <v>196602</v>
      </c>
      <c r="AE9" s="17" t="n">
        <f aca="false">Допущения!$F$55+Допущения!$F$56*O9/1000+Допущения!$F$57</f>
        <v>143109.333333333</v>
      </c>
      <c r="AF9" s="17" t="n">
        <f aca="false">SUMIF(Допущения!$B$95:$B$103,A9,Допущения!$C$95:$C$103)</f>
        <v>1000000</v>
      </c>
      <c r="AG9" s="17" t="n">
        <v>0</v>
      </c>
      <c r="AH9" s="17" t="n">
        <f aca="false">G9+SUM(X9:AG9)</f>
        <v>4158962.89728</v>
      </c>
      <c r="AI9" s="17" t="n">
        <f aca="false">W9-AH9</f>
        <v>-3325661.56394667</v>
      </c>
      <c r="AJ9" s="17" t="n">
        <f aca="false">AJ8+AI9</f>
        <v>-7932509.4983729</v>
      </c>
      <c r="AK9" s="17" t="n">
        <f aca="false">O9*Допущения!$F$58*Допущения!$F$59</f>
        <v>12826</v>
      </c>
      <c r="AL9" s="17" t="n">
        <f aca="false">T9*Допущения!$F$72</f>
        <v>39605.7704918033</v>
      </c>
      <c r="AM9" s="17" t="n">
        <f aca="false">IF(MOD(A9,12)=0,INDEX($F$70:$F$74,B9),0)</f>
        <v>0</v>
      </c>
      <c r="AN9" s="17" t="n">
        <f aca="false">AI9-AM9</f>
        <v>-3325661.56394667</v>
      </c>
      <c r="AO9" s="26" t="n">
        <f aca="false">1/(1+Допущения!$F$74)^A9</f>
        <v>0.935865396895108</v>
      </c>
      <c r="AP9" s="21" t="str">
        <f aca="false">IF(AND(A9&gt;Допущения!$F$19,MIN(AI9:AI$65)&gt;0),A9,"")</f>
        <v/>
      </c>
      <c r="AQ9" s="21" t="str">
        <f aca="false">IF(MIN(AJ9:AJ$65)&gt;0,A9,"")</f>
        <v/>
      </c>
    </row>
    <row r="10" customFormat="false" ht="15" hidden="false" customHeight="false" outlineLevel="0" collapsed="false">
      <c r="A10" s="28" t="n">
        <v>5</v>
      </c>
      <c r="B10" s="28" t="n">
        <f aca="false">INT((A10-1)/12)+1</f>
        <v>1</v>
      </c>
      <c r="C10" s="12" t="s">
        <v>462</v>
      </c>
      <c r="D10" s="15" t="n">
        <f aca="false">(1+Допущения!$F$11)^(B10-1)</f>
        <v>1</v>
      </c>
      <c r="E10" s="15" t="n">
        <f aca="false">(1+Допущения!$F$12)^(B10-1)</f>
        <v>1</v>
      </c>
      <c r="F10" s="17" t="n">
        <f aca="false">Допущения!$F$71*E10</f>
        <v>2465.68</v>
      </c>
      <c r="G10" s="17" t="n">
        <f aca="false">MIN(G9*(1+Допущения!$F$33),Допущения!$F$34)</f>
        <v>432000</v>
      </c>
      <c r="H10" s="25" t="n">
        <f aca="false">MIN(Допущения!$F$30,G10/Допущения!$F$29)</f>
        <v>288</v>
      </c>
      <c r="I10" s="25" t="n">
        <f aca="false">MAX(0,G10-H10*Допущения!$F$29)/Допущения!$F$31</f>
        <v>0</v>
      </c>
      <c r="J10" s="25" t="n">
        <f aca="false">IF(A10&gt;=Допущения!$F$35,Допущения!$F$36,0)</f>
        <v>0</v>
      </c>
      <c r="K10" s="25" t="n">
        <f aca="false">H10+I10+J10</f>
        <v>288</v>
      </c>
      <c r="L10" s="25" t="n">
        <f aca="false">(L9-K9)*(1-Допущения!$F$44)+K9*(1-Допущения!$F$43)+K10</f>
        <v>602.68</v>
      </c>
      <c r="M10" s="25" t="n">
        <f aca="false">IF(A10&gt;=Допущения!$F$38,Допущения!$F$73/Допущения!$F$42*MIN(Допущения!$F$42,A10-Допущения!$F$38+1),0)</f>
        <v>0</v>
      </c>
      <c r="N10" s="25" t="n">
        <f aca="false">N9*(1-Допущения!$F$45)+M10</f>
        <v>0</v>
      </c>
      <c r="O10" s="25" t="n">
        <f aca="false">L10+N10</f>
        <v>602.68</v>
      </c>
      <c r="P10" s="25" t="n">
        <f aca="false">L10*Допущения!$F$25</f>
        <v>180.804</v>
      </c>
      <c r="Q10" s="25" t="n">
        <f aca="false">L10*(1-Допущения!$F$25)+N10</f>
        <v>421.876</v>
      </c>
      <c r="R10" s="17" t="n">
        <f aca="false">MAX(Допущения!$F$18,ROUNDUP(Q10/Допущения!$F$68+P10/Допущения!$F$69,0))</f>
        <v>9</v>
      </c>
      <c r="S10" s="17" t="n">
        <f aca="false">ROUNDUP(R10/Допущения!$F$48,0)</f>
        <v>1</v>
      </c>
      <c r="T10" s="17" t="n">
        <f aca="false">L10*F10/(1+Допущения!$F$6)</f>
        <v>1218045.92</v>
      </c>
      <c r="U10" s="17" t="n">
        <f aca="false">N10*Допущения!$F$28*E10/(1+Допущения!$F$6)</f>
        <v>0</v>
      </c>
      <c r="V10" s="17" t="n">
        <f aca="false">O10*Допущения!$F$26*Допущения!$F$27/(1+Допущения!$F$6)</f>
        <v>74100</v>
      </c>
      <c r="W10" s="17" t="n">
        <f aca="false">T10+U10+V10</f>
        <v>1292145.92</v>
      </c>
      <c r="X10" s="17" t="n">
        <f aca="false">J10*Допущения!$F$37</f>
        <v>0</v>
      </c>
      <c r="Y10" s="17" t="n">
        <f aca="false">(R10*Допущения!$F$47+S10*Допущения!$F$49)*D10*Допущения!$F$9</f>
        <v>1165290</v>
      </c>
      <c r="Z10" s="17" t="n">
        <f aca="false">(MAX(0,R10-R9)+R10*Допущения!$F$50/12)*Допущения!$F$51*D10</f>
        <v>249937.5</v>
      </c>
      <c r="AA10" s="17" t="n">
        <f aca="false">O10*(Допущения!$F$53+Допущения!$F$54)+(L10*F10+N10*Допущения!$F$28*E10)*Допущения!$F$13</f>
        <v>294940.8884032</v>
      </c>
      <c r="AB10" s="17" t="n">
        <f aca="false">(R10+S10)*Допущения!$F$52</f>
        <v>27000</v>
      </c>
      <c r="AC10" s="17" t="n">
        <f aca="false">SUMPRODUCT(Допущения!$B$84:$B$91,Допущения!$C$84:$C$91,--(Допущения!$D$84:$D$91&lt;=A10))*D10*Допущения!$F$9</f>
        <v>1132740</v>
      </c>
      <c r="AD10" s="17" t="n">
        <f aca="false">(AC10+Y10)*Допущения!$F$14</f>
        <v>229803</v>
      </c>
      <c r="AE10" s="17" t="n">
        <f aca="false">Допущения!$F$55+Допущения!$F$56*O10/1000+Допущения!$F$57</f>
        <v>144821.44</v>
      </c>
      <c r="AF10" s="17" t="n">
        <f aca="false">SUMIF(Допущения!$B$95:$B$103,A10,Допущения!$C$95:$C$103)</f>
        <v>1000000</v>
      </c>
      <c r="AG10" s="17" t="n">
        <v>0</v>
      </c>
      <c r="AH10" s="17" t="n">
        <f aca="false">G10+SUM(X10:AG10)</f>
        <v>4676532.8284032</v>
      </c>
      <c r="AI10" s="17" t="n">
        <f aca="false">W10-AH10</f>
        <v>-3384386.9084032</v>
      </c>
      <c r="AJ10" s="17" t="n">
        <f aca="false">AJ9+AI10</f>
        <v>-11316896.4067761</v>
      </c>
      <c r="AK10" s="17" t="n">
        <f aca="false">O10*Допущения!$F$58*Допущения!$F$59</f>
        <v>19888.44</v>
      </c>
      <c r="AL10" s="17" t="n">
        <f aca="false">T10*Допущения!$F$72</f>
        <v>61414.08</v>
      </c>
      <c r="AM10" s="17" t="n">
        <f aca="false">IF(MOD(A10,12)=0,INDEX($F$70:$F$74,B10),0)</f>
        <v>0</v>
      </c>
      <c r="AN10" s="17" t="n">
        <f aca="false">AI10-AM10</f>
        <v>-3384386.9084032</v>
      </c>
      <c r="AO10" s="26" t="n">
        <f aca="false">1/(1+Допущения!$F$74)^A10</f>
        <v>0.920485045523697</v>
      </c>
      <c r="AP10" s="21" t="str">
        <f aca="false">IF(AND(A10&gt;Допущения!$F$19,MIN(AI10:AI$65)&gt;0),A10,"")</f>
        <v/>
      </c>
      <c r="AQ10" s="21" t="str">
        <f aca="false">IF(MIN(AJ10:AJ$65)&gt;0,A10,"")</f>
        <v/>
      </c>
    </row>
    <row r="11" customFormat="false" ht="15" hidden="false" customHeight="false" outlineLevel="0" collapsed="false">
      <c r="A11" s="28" t="n">
        <v>6</v>
      </c>
      <c r="B11" s="28" t="n">
        <f aca="false">INT((A11-1)/12)+1</f>
        <v>1</v>
      </c>
      <c r="C11" s="12" t="s">
        <v>462</v>
      </c>
      <c r="D11" s="15" t="n">
        <f aca="false">(1+Допущения!$F$11)^(B11-1)</f>
        <v>1</v>
      </c>
      <c r="E11" s="15" t="n">
        <f aca="false">(1+Допущения!$F$12)^(B11-1)</f>
        <v>1</v>
      </c>
      <c r="F11" s="17" t="n">
        <f aca="false">Допущения!$F$71*E11</f>
        <v>2465.68</v>
      </c>
      <c r="G11" s="17" t="n">
        <f aca="false">MIN(G10*(1+Допущения!$F$33),Допущения!$F$34)</f>
        <v>466560</v>
      </c>
      <c r="H11" s="25" t="n">
        <f aca="false">MIN(Допущения!$F$30,G11/Допущения!$F$29)</f>
        <v>300</v>
      </c>
      <c r="I11" s="25" t="n">
        <f aca="false">MAX(0,G11-H11*Допущения!$F$29)/Допущения!$F$31</f>
        <v>2.76000000000001</v>
      </c>
      <c r="J11" s="25" t="n">
        <f aca="false">IF(A11&gt;=Допущения!$F$35,Допущения!$F$36,0)</f>
        <v>40</v>
      </c>
      <c r="K11" s="25" t="n">
        <f aca="false">H11+I11+J11</f>
        <v>342.76</v>
      </c>
      <c r="L11" s="25" t="n">
        <f aca="false">(L10-K10)*(1-Допущения!$F$44)+K10*(1-Допущения!$F$43)+K11</f>
        <v>854.5592</v>
      </c>
      <c r="M11" s="25" t="n">
        <f aca="false">IF(A11&gt;=Допущения!$F$38,Допущения!$F$73/Допущения!$F$42*MIN(Допущения!$F$42,A11-Допущения!$F$38+1),0)</f>
        <v>0</v>
      </c>
      <c r="N11" s="25" t="n">
        <f aca="false">N10*(1-Допущения!$F$45)+M11</f>
        <v>0</v>
      </c>
      <c r="O11" s="25" t="n">
        <f aca="false">L11+N11</f>
        <v>854.5592</v>
      </c>
      <c r="P11" s="25" t="n">
        <f aca="false">L11*Допущения!$F$25</f>
        <v>256.36776</v>
      </c>
      <c r="Q11" s="25" t="n">
        <f aca="false">L11*(1-Допущения!$F$25)+N11</f>
        <v>598.19144</v>
      </c>
      <c r="R11" s="17" t="n">
        <f aca="false">MAX(Допущения!$F$18,ROUNDUP(Q11/Допущения!$F$68+P11/Допущения!$F$69,0))</f>
        <v>13</v>
      </c>
      <c r="S11" s="17" t="n">
        <f aca="false">ROUNDUP(R11/Допущения!$F$48,0)</f>
        <v>2</v>
      </c>
      <c r="T11" s="17" t="n">
        <f aca="false">L11*F11/(1+Допущения!$F$6)</f>
        <v>1727106.17070164</v>
      </c>
      <c r="U11" s="17" t="n">
        <f aca="false">N11*Допущения!$F$28*E11/(1+Допущения!$F$6)</f>
        <v>0</v>
      </c>
      <c r="V11" s="17" t="n">
        <f aca="false">O11*Допущения!$F$26*Допущения!$F$27/(1+Допущения!$F$6)</f>
        <v>105068.754098361</v>
      </c>
      <c r="W11" s="17" t="n">
        <f aca="false">T11+U11+V11</f>
        <v>1832174.9248</v>
      </c>
      <c r="X11" s="17" t="n">
        <f aca="false">J11*Допущения!$F$37</f>
        <v>20000</v>
      </c>
      <c r="Y11" s="17" t="n">
        <f aca="false">(R11*Допущения!$F$47+S11*Допущения!$F$49)*D11*Допущения!$F$9</f>
        <v>1777230</v>
      </c>
      <c r="Z11" s="17" t="n">
        <f aca="false">(MAX(0,R11-R10)+R11*Допущения!$F$50/12)*Допущения!$F$51*D11</f>
        <v>335187.5</v>
      </c>
      <c r="AA11" s="17" t="n">
        <f aca="false">O11*(Допущения!$F$53+Допущения!$F$54)+(L11*F11+N11*Допущения!$F$28*E11)*Допущения!$F$13</f>
        <v>418206.095508608</v>
      </c>
      <c r="AB11" s="17" t="n">
        <f aca="false">(R11+S11)*Допущения!$F$52</f>
        <v>40500</v>
      </c>
      <c r="AC11" s="17" t="n">
        <f aca="false">SUMPRODUCT(Допущения!$B$84:$B$91,Допущения!$C$84:$C$91,--(Допущения!$D$84:$D$91&lt;=A11))*D11*Допущения!$F$9</f>
        <v>1627500</v>
      </c>
      <c r="AD11" s="17" t="n">
        <f aca="false">(AC11+Y11)*Допущения!$F$14</f>
        <v>340473</v>
      </c>
      <c r="AE11" s="17" t="n">
        <f aca="false">Допущения!$F$55+Допущения!$F$56*O11/1000+Допущения!$F$57</f>
        <v>146836.4736</v>
      </c>
      <c r="AF11" s="17" t="n">
        <f aca="false">SUMIF(Допущения!$B$95:$B$103,A11,Допущения!$C$95:$C$103)</f>
        <v>1000000</v>
      </c>
      <c r="AG11" s="17" t="n">
        <v>0</v>
      </c>
      <c r="AH11" s="17" t="n">
        <f aca="false">G11+SUM(X11:AG11)</f>
        <v>6172493.06910861</v>
      </c>
      <c r="AI11" s="17" t="n">
        <f aca="false">W11-AH11</f>
        <v>-4340318.14430861</v>
      </c>
      <c r="AJ11" s="17" t="n">
        <f aca="false">AJ10+AI11</f>
        <v>-15657214.5510847</v>
      </c>
      <c r="AK11" s="17" t="n">
        <f aca="false">O11*Допущения!$F$58*Допущения!$F$59</f>
        <v>28200.4536</v>
      </c>
      <c r="AL11" s="17" t="n">
        <f aca="false">T11*Допущения!$F$72</f>
        <v>87080.9833967213</v>
      </c>
      <c r="AM11" s="17" t="n">
        <f aca="false">IF(MOD(A11,12)=0,INDEX($F$70:$F$74,B11),0)</f>
        <v>0</v>
      </c>
      <c r="AN11" s="17" t="n">
        <f aca="false">AI11-AM11</f>
        <v>-4340318.14430861</v>
      </c>
      <c r="AO11" s="26" t="n">
        <f aca="false">1/(1+Допущения!$F$74)^A11</f>
        <v>0.905357460425186</v>
      </c>
      <c r="AP11" s="21" t="str">
        <f aca="false">IF(AND(A11&gt;Допущения!$F$19,MIN(AI11:AI$65)&gt;0),A11,"")</f>
        <v/>
      </c>
      <c r="AQ11" s="21" t="str">
        <f aca="false">IF(MIN(AJ11:AJ$65)&gt;0,A11,"")</f>
        <v/>
      </c>
    </row>
    <row r="12" customFormat="false" ht="15" hidden="false" customHeight="false" outlineLevel="0" collapsed="false">
      <c r="A12" s="28" t="n">
        <v>7</v>
      </c>
      <c r="B12" s="28" t="n">
        <f aca="false">INT((A12-1)/12)+1</f>
        <v>1</v>
      </c>
      <c r="C12" s="12" t="s">
        <v>462</v>
      </c>
      <c r="D12" s="15" t="n">
        <f aca="false">(1+Допущения!$F$11)^(B12-1)</f>
        <v>1</v>
      </c>
      <c r="E12" s="15" t="n">
        <f aca="false">(1+Допущения!$F$12)^(B12-1)</f>
        <v>1</v>
      </c>
      <c r="F12" s="17" t="n">
        <f aca="false">Допущения!$F$71*E12</f>
        <v>2465.68</v>
      </c>
      <c r="G12" s="17" t="n">
        <f aca="false">MIN(G11*(1+Допущения!$F$33),Допущения!$F$34)</f>
        <v>503884.8</v>
      </c>
      <c r="H12" s="25" t="n">
        <f aca="false">MIN(Допущения!$F$30,G12/Допущения!$F$29)</f>
        <v>300</v>
      </c>
      <c r="I12" s="25" t="n">
        <f aca="false">MAX(0,G12-H12*Допущения!$F$29)/Допущения!$F$31</f>
        <v>8.98080000000002</v>
      </c>
      <c r="J12" s="25" t="n">
        <f aca="false">IF(A12&gt;=Допущения!$F$35,Допущения!$F$36,0)</f>
        <v>40</v>
      </c>
      <c r="K12" s="25" t="n">
        <f aca="false">H12+I12+J12</f>
        <v>348.9808</v>
      </c>
      <c r="L12" s="25" t="n">
        <f aca="false">(L11-K11)*(1-Допущения!$F$44)+K11*(1-Допущения!$F$43)+K12</f>
        <v>1087.142048</v>
      </c>
      <c r="M12" s="25" t="n">
        <f aca="false">IF(A12&gt;=Допущения!$F$38,Допущения!$F$73/Допущения!$F$42*MIN(Допущения!$F$42,A12-Допущения!$F$38+1),0)</f>
        <v>20</v>
      </c>
      <c r="N12" s="25" t="n">
        <f aca="false">N11*(1-Допущения!$F$45)+M12</f>
        <v>20</v>
      </c>
      <c r="O12" s="25" t="n">
        <f aca="false">L12+N12</f>
        <v>1107.142048</v>
      </c>
      <c r="P12" s="25" t="n">
        <f aca="false">L12*Допущения!$F$25</f>
        <v>326.1426144</v>
      </c>
      <c r="Q12" s="25" t="n">
        <f aca="false">L12*(1-Допущения!$F$25)+N12</f>
        <v>780.9994336</v>
      </c>
      <c r="R12" s="17" t="n">
        <f aca="false">MAX(Допущения!$F$18,ROUNDUP(Q12/Допущения!$F$68+P12/Допущения!$F$69,0))</f>
        <v>17</v>
      </c>
      <c r="S12" s="17" t="n">
        <f aca="false">ROUNDUP(R12/Допущения!$F$48,0)</f>
        <v>2</v>
      </c>
      <c r="T12" s="17" t="n">
        <f aca="false">L12*F12/(1+Допущения!$F$6)</f>
        <v>2197167.54501036</v>
      </c>
      <c r="U12" s="17" t="n">
        <f aca="false">N12*Допущения!$F$28*E12/(1+Допущения!$F$6)</f>
        <v>24590.1639344262</v>
      </c>
      <c r="V12" s="17" t="n">
        <f aca="false">O12*Допущения!$F$26*Допущения!$F$27/(1+Допущения!$F$6)</f>
        <v>136124.022295082</v>
      </c>
      <c r="W12" s="17" t="n">
        <f aca="false">T12+U12+V12</f>
        <v>2357881.73123987</v>
      </c>
      <c r="X12" s="17" t="n">
        <f aca="false">J12*Допущения!$F$37</f>
        <v>20000</v>
      </c>
      <c r="Y12" s="17" t="n">
        <f aca="false">(R12*Допущения!$F$47+S12*Допущения!$F$49)*D12*Допущения!$F$9</f>
        <v>2219910</v>
      </c>
      <c r="Z12" s="17" t="n">
        <f aca="false">(MAX(0,R12-R11)+R12*Допущения!$F$50/12)*Допущения!$F$51*D12</f>
        <v>342937.5</v>
      </c>
      <c r="AA12" s="17" t="n">
        <f aca="false">O12*(Допущения!$F$53+Допущения!$F$54)+(L12*F12+N12*Допущения!$F$28*E12)*Допущения!$F$13</f>
        <v>541468.010648428</v>
      </c>
      <c r="AB12" s="17" t="n">
        <f aca="false">(R12+S12)*Допущения!$F$52</f>
        <v>51300</v>
      </c>
      <c r="AC12" s="17" t="n">
        <f aca="false">SUMPRODUCT(Допущения!$B$84:$B$91,Допущения!$C$84:$C$91,--(Допущения!$D$84:$D$91&lt;=A12))*D12*Допущения!$F$9</f>
        <v>1627500</v>
      </c>
      <c r="AD12" s="17" t="n">
        <f aca="false">(AC12+Y12)*Допущения!$F$14</f>
        <v>384741</v>
      </c>
      <c r="AE12" s="17" t="n">
        <f aca="false">Допущения!$F$55+Допущения!$F$56*O12/1000+Допущения!$F$57</f>
        <v>148857.136384</v>
      </c>
      <c r="AF12" s="17" t="n">
        <f aca="false">SUMIF(Допущения!$B$95:$B$103,A12,Допущения!$C$95:$C$103)</f>
        <v>500000</v>
      </c>
      <c r="AG12" s="17" t="n">
        <v>0</v>
      </c>
      <c r="AH12" s="17" t="n">
        <f aca="false">G12+SUM(X12:AG12)</f>
        <v>6340598.44703243</v>
      </c>
      <c r="AI12" s="17" t="n">
        <f aca="false">W12-AH12</f>
        <v>-3982716.71579256</v>
      </c>
      <c r="AJ12" s="17" t="n">
        <f aca="false">AJ11+AI12</f>
        <v>-19639931.2668773</v>
      </c>
      <c r="AK12" s="17" t="n">
        <f aca="false">O12*Допущения!$F$58*Допущения!$F$59</f>
        <v>36535.687584</v>
      </c>
      <c r="AL12" s="17" t="n">
        <f aca="false">T12*Допущения!$F$72</f>
        <v>110781.556891279</v>
      </c>
      <c r="AM12" s="17" t="n">
        <f aca="false">IF(MOD(A12,12)=0,INDEX($F$70:$F$74,B12),0)</f>
        <v>0</v>
      </c>
      <c r="AN12" s="17" t="n">
        <f aca="false">AI12-AM12</f>
        <v>-3982716.71579256</v>
      </c>
      <c r="AO12" s="26" t="n">
        <f aca="false">1/(1+Допущения!$F$74)^A12</f>
        <v>0.890478487546966</v>
      </c>
      <c r="AP12" s="21" t="str">
        <f aca="false">IF(AND(A12&gt;Допущения!$F$19,MIN(AI12:AI$65)&gt;0),A12,"")</f>
        <v/>
      </c>
      <c r="AQ12" s="21" t="str">
        <f aca="false">IF(MIN(AJ12:AJ$65)&gt;0,A12,"")</f>
        <v/>
      </c>
    </row>
    <row r="13" customFormat="false" ht="15" hidden="false" customHeight="false" outlineLevel="0" collapsed="false">
      <c r="A13" s="28" t="n">
        <v>8</v>
      </c>
      <c r="B13" s="28" t="n">
        <f aca="false">INT((A13-1)/12)+1</f>
        <v>1</v>
      </c>
      <c r="C13" s="12" t="s">
        <v>462</v>
      </c>
      <c r="D13" s="15" t="n">
        <f aca="false">(1+Допущения!$F$11)^(B13-1)</f>
        <v>1</v>
      </c>
      <c r="E13" s="15" t="n">
        <f aca="false">(1+Допущения!$F$12)^(B13-1)</f>
        <v>1</v>
      </c>
      <c r="F13" s="17" t="n">
        <f aca="false">Допущения!$F$71*E13</f>
        <v>2465.68</v>
      </c>
      <c r="G13" s="17" t="n">
        <f aca="false">MIN(G12*(1+Допущения!$F$33),Допущения!$F$34)</f>
        <v>544195.584</v>
      </c>
      <c r="H13" s="25" t="n">
        <f aca="false">MIN(Допущения!$F$30,G13/Допущения!$F$29)</f>
        <v>300</v>
      </c>
      <c r="I13" s="25" t="n">
        <f aca="false">MAX(0,G13-H13*Допущения!$F$29)/Допущения!$F$31</f>
        <v>15.699264</v>
      </c>
      <c r="J13" s="25" t="n">
        <f aca="false">IF(A13&gt;=Допущения!$F$35,Допущения!$F$36,0)</f>
        <v>40</v>
      </c>
      <c r="K13" s="25" t="n">
        <f aca="false">H13+I13+J13</f>
        <v>355.699264</v>
      </c>
      <c r="L13" s="25" t="n">
        <f aca="false">(L12-K12)*(1-Допущения!$F$44)+K12*(1-Допущения!$F$43)+K13</f>
        <v>1311.30643712</v>
      </c>
      <c r="M13" s="25" t="n">
        <f aca="false">IF(A13&gt;=Допущения!$F$38,Допущения!$F$73/Допущения!$F$42*MIN(Допущения!$F$42,A13-Допущения!$F$38+1),0)</f>
        <v>40</v>
      </c>
      <c r="N13" s="25" t="n">
        <f aca="false">N12*(1-Допущения!$F$45)+M13</f>
        <v>59.6</v>
      </c>
      <c r="O13" s="25" t="n">
        <f aca="false">L13+N13</f>
        <v>1370.90643712</v>
      </c>
      <c r="P13" s="25" t="n">
        <f aca="false">L13*Допущения!$F$25</f>
        <v>393.391931136</v>
      </c>
      <c r="Q13" s="25" t="n">
        <f aca="false">L13*(1-Допущения!$F$25)+N13</f>
        <v>977.514505984</v>
      </c>
      <c r="R13" s="17" t="n">
        <f aca="false">MAX(Допущения!$F$18,ROUNDUP(Q13/Допущения!$F$68+P13/Допущения!$F$69,0))</f>
        <v>21</v>
      </c>
      <c r="S13" s="17" t="n">
        <f aca="false">ROUNDUP(R13/Допущения!$F$48,0)</f>
        <v>3</v>
      </c>
      <c r="T13" s="17" t="n">
        <f aca="false">L13*F13/(1+Допущения!$F$6)</f>
        <v>2650214.79990004</v>
      </c>
      <c r="U13" s="17" t="n">
        <f aca="false">N13*Допущения!$F$28*E13/(1+Допущения!$F$6)</f>
        <v>73278.6885245902</v>
      </c>
      <c r="V13" s="17" t="n">
        <f aca="false">O13*Допущения!$F$26*Допущения!$F$27/(1+Допущения!$F$6)</f>
        <v>168554.070137705</v>
      </c>
      <c r="W13" s="17" t="n">
        <f aca="false">T13+U13+V13</f>
        <v>2892047.55856233</v>
      </c>
      <c r="X13" s="17" t="n">
        <f aca="false">J13*Допущения!$F$37</f>
        <v>20000</v>
      </c>
      <c r="Y13" s="17" t="n">
        <f aca="false">(R13*Допущения!$F$47+S13*Допущения!$F$49)*D13*Допущения!$F$9</f>
        <v>2831850</v>
      </c>
      <c r="Z13" s="17" t="n">
        <f aca="false">(MAX(0,R13-R12)+R13*Допущения!$F$50/12)*Допущения!$F$51*D13</f>
        <v>350687.5</v>
      </c>
      <c r="AA13" s="17" t="n">
        <f aca="false">O13*(Допущения!$F$53+Допущения!$F$54)+(L13*F13+N13*Допущения!$F$28*E13)*Допущения!$F$13</f>
        <v>669861.281524205</v>
      </c>
      <c r="AB13" s="17" t="n">
        <f aca="false">(R13+S13)*Допущения!$F$52</f>
        <v>64800</v>
      </c>
      <c r="AC13" s="17" t="n">
        <f aca="false">SUMPRODUCT(Допущения!$B$84:$B$91,Допущения!$C$84:$C$91,--(Допущения!$D$84:$D$91&lt;=A13))*D13*Допущения!$F$9</f>
        <v>1627500</v>
      </c>
      <c r="AD13" s="17" t="n">
        <f aca="false">(AC13+Y13)*Допущения!$F$14</f>
        <v>445935</v>
      </c>
      <c r="AE13" s="17" t="n">
        <f aca="false">Допущения!$F$55+Допущения!$F$56*O13/1000+Допущения!$F$57</f>
        <v>150967.25149696</v>
      </c>
      <c r="AF13" s="17" t="n">
        <f aca="false">SUMIF(Допущения!$B$95:$B$103,A13,Допущения!$C$95:$C$103)</f>
        <v>500000</v>
      </c>
      <c r="AG13" s="17" t="n">
        <v>0</v>
      </c>
      <c r="AH13" s="17" t="n">
        <f aca="false">G13+SUM(X13:AG13)</f>
        <v>7205796.61702117</v>
      </c>
      <c r="AI13" s="17" t="n">
        <f aca="false">W13-AH13</f>
        <v>-4313749.05845884</v>
      </c>
      <c r="AJ13" s="17" t="n">
        <f aca="false">AJ12+AI13</f>
        <v>-23953680.3253361</v>
      </c>
      <c r="AK13" s="17" t="n">
        <f aca="false">O13*Допущения!$F$58*Допущения!$F$59</f>
        <v>45239.91242496</v>
      </c>
      <c r="AL13" s="17" t="n">
        <f aca="false">T13*Допущения!$F$72</f>
        <v>133624.275625212</v>
      </c>
      <c r="AM13" s="17" t="n">
        <f aca="false">IF(MOD(A13,12)=0,INDEX($F$70:$F$74,B13),0)</f>
        <v>0</v>
      </c>
      <c r="AN13" s="17" t="n">
        <f aca="false">AI13-AM13</f>
        <v>-4313749.05845884</v>
      </c>
      <c r="AO13" s="26" t="n">
        <f aca="false">1/(1+Допущения!$F$74)^A13</f>
        <v>0.875844041105637</v>
      </c>
      <c r="AP13" s="21" t="str">
        <f aca="false">IF(AND(A13&gt;Допущения!$F$19,MIN(AI13:AI$65)&gt;0),A13,"")</f>
        <v/>
      </c>
      <c r="AQ13" s="21" t="str">
        <f aca="false">IF(MIN(AJ13:AJ$65)&gt;0,A13,"")</f>
        <v/>
      </c>
    </row>
    <row r="14" customFormat="false" ht="15" hidden="false" customHeight="false" outlineLevel="0" collapsed="false">
      <c r="A14" s="28" t="n">
        <v>9</v>
      </c>
      <c r="B14" s="28" t="n">
        <f aca="false">INT((A14-1)/12)+1</f>
        <v>1</v>
      </c>
      <c r="C14" s="12" t="s">
        <v>462</v>
      </c>
      <c r="D14" s="15" t="n">
        <f aca="false">(1+Допущения!$F$11)^(B14-1)</f>
        <v>1</v>
      </c>
      <c r="E14" s="15" t="n">
        <f aca="false">(1+Допущения!$F$12)^(B14-1)</f>
        <v>1</v>
      </c>
      <c r="F14" s="17" t="n">
        <f aca="false">Допущения!$F$71*E14</f>
        <v>2465.68</v>
      </c>
      <c r="G14" s="17" t="n">
        <f aca="false">MIN(G13*(1+Допущения!$F$33),Допущения!$F$34)</f>
        <v>587731.23072</v>
      </c>
      <c r="H14" s="25" t="n">
        <f aca="false">MIN(Допущения!$F$30,G14/Допущения!$F$29)</f>
        <v>300</v>
      </c>
      <c r="I14" s="25" t="n">
        <f aca="false">MAX(0,G14-H14*Допущения!$F$29)/Допущения!$F$31</f>
        <v>22.95520512</v>
      </c>
      <c r="J14" s="25" t="n">
        <f aca="false">IF(A14&gt;=Допущения!$F$35,Допущения!$F$36,0)</f>
        <v>40</v>
      </c>
      <c r="K14" s="25" t="n">
        <f aca="false">H14+I14+J14</f>
        <v>362.95520512</v>
      </c>
      <c r="L14" s="25" t="n">
        <f aca="false">(L13-K13)*(1-Допущения!$F$44)+K13*(1-Допущения!$F$43)+K14</f>
        <v>1528.0003958528</v>
      </c>
      <c r="M14" s="25" t="n">
        <f aca="false">IF(A14&gt;=Допущения!$F$38,Допущения!$F$73/Допущения!$F$42*MIN(Допущения!$F$42,A14-Допущения!$F$38+1),0)</f>
        <v>60</v>
      </c>
      <c r="N14" s="25" t="n">
        <f aca="false">N13*(1-Допущения!$F$45)+M14</f>
        <v>118.408</v>
      </c>
      <c r="O14" s="25" t="n">
        <f aca="false">L14+N14</f>
        <v>1646.4083958528</v>
      </c>
      <c r="P14" s="25" t="n">
        <f aca="false">L14*Допущения!$F$25</f>
        <v>458.40011875584</v>
      </c>
      <c r="Q14" s="25" t="n">
        <f aca="false">L14*(1-Допущения!$F$25)+N14</f>
        <v>1188.00827709696</v>
      </c>
      <c r="R14" s="17" t="n">
        <f aca="false">MAX(Допущения!$F$18,ROUNDUP(Q14/Допущения!$F$68+P14/Допущения!$F$69,0))</f>
        <v>25</v>
      </c>
      <c r="S14" s="17" t="n">
        <f aca="false">ROUNDUP(R14/Допущения!$F$48,0)</f>
        <v>3</v>
      </c>
      <c r="T14" s="17" t="n">
        <f aca="false">L14*F14/(1+Допущения!$F$6)</f>
        <v>3088163.94757896</v>
      </c>
      <c r="U14" s="17" t="n">
        <f aca="false">N14*Допущения!$F$28*E14/(1+Допущения!$F$6)</f>
        <v>145583.606557377</v>
      </c>
      <c r="V14" s="17" t="n">
        <f aca="false">O14*Допущения!$F$26*Допущения!$F$27/(1+Допущения!$F$6)</f>
        <v>202427.26178518</v>
      </c>
      <c r="W14" s="17" t="n">
        <f aca="false">T14+U14+V14</f>
        <v>3436174.81592152</v>
      </c>
      <c r="X14" s="17" t="n">
        <f aca="false">J14*Допущения!$F$37</f>
        <v>20000</v>
      </c>
      <c r="Y14" s="17" t="n">
        <f aca="false">(R14*Допущения!$F$47+S14*Допущения!$F$49)*D14*Допущения!$F$9</f>
        <v>3274530</v>
      </c>
      <c r="Z14" s="17" t="n">
        <f aca="false">(MAX(0,R14-R13)+R14*Допущения!$F$50/12)*Допущения!$F$51*D14</f>
        <v>358437.5</v>
      </c>
      <c r="AA14" s="17" t="n">
        <f aca="false">O14*(Допущения!$F$53+Допущения!$F$54)+(L14*F14+N14*Допущения!$F$28*E14)*Допущения!$F$13</f>
        <v>803664.83244333</v>
      </c>
      <c r="AB14" s="17" t="n">
        <f aca="false">(R14+S14)*Допущения!$F$52</f>
        <v>75600</v>
      </c>
      <c r="AC14" s="17" t="n">
        <f aca="false">SUMPRODUCT(Допущения!$B$84:$B$91,Допущения!$C$84:$C$91,--(Допущения!$D$84:$D$91&lt;=A14))*D14*Допущения!$F$9</f>
        <v>1627500</v>
      </c>
      <c r="AD14" s="17" t="n">
        <f aca="false">(AC14+Y14)*Допущения!$F$14</f>
        <v>490203</v>
      </c>
      <c r="AE14" s="17" t="n">
        <f aca="false">Допущения!$F$55+Допущения!$F$56*O14/1000+Допущения!$F$57</f>
        <v>153171.267166822</v>
      </c>
      <c r="AF14" s="17" t="n">
        <f aca="false">SUMIF(Допущения!$B$95:$B$103,A14,Допущения!$C$95:$C$103)</f>
        <v>500000</v>
      </c>
      <c r="AG14" s="17" t="n">
        <v>0</v>
      </c>
      <c r="AH14" s="17" t="n">
        <f aca="false">G14+SUM(X14:AG14)</f>
        <v>7890837.83033015</v>
      </c>
      <c r="AI14" s="17" t="n">
        <f aca="false">W14-AH14</f>
        <v>-4454663.01440864</v>
      </c>
      <c r="AJ14" s="17" t="n">
        <f aca="false">AJ13+AI14</f>
        <v>-28408343.3397447</v>
      </c>
      <c r="AK14" s="17" t="n">
        <f aca="false">O14*Допущения!$F$58*Допущения!$F$59</f>
        <v>54331.4770631424</v>
      </c>
      <c r="AL14" s="17" t="n">
        <f aca="false">T14*Допущения!$F$72</f>
        <v>155705.745256082</v>
      </c>
      <c r="AM14" s="17" t="n">
        <f aca="false">IF(MOD(A14,12)=0,INDEX($F$70:$F$74,B14),0)</f>
        <v>0</v>
      </c>
      <c r="AN14" s="17" t="n">
        <f aca="false">AI14-AM14</f>
        <v>-4454663.01440864</v>
      </c>
      <c r="AO14" s="26" t="n">
        <f aca="false">1/(1+Допущения!$F$74)^A14</f>
        <v>0.861450102465046</v>
      </c>
      <c r="AP14" s="21" t="str">
        <f aca="false">IF(AND(A14&gt;Допущения!$F$19,MIN(AI14:AI$65)&gt;0),A14,"")</f>
        <v/>
      </c>
      <c r="AQ14" s="21" t="str">
        <f aca="false">IF(MIN(AJ14:AJ$65)&gt;0,A14,"")</f>
        <v/>
      </c>
    </row>
    <row r="15" customFormat="false" ht="15" hidden="false" customHeight="false" outlineLevel="0" collapsed="false">
      <c r="A15" s="28" t="n">
        <v>10</v>
      </c>
      <c r="B15" s="28" t="n">
        <f aca="false">INT((A15-1)/12)+1</f>
        <v>1</v>
      </c>
      <c r="C15" s="12" t="s">
        <v>462</v>
      </c>
      <c r="D15" s="15" t="n">
        <f aca="false">(1+Допущения!$F$11)^(B15-1)</f>
        <v>1</v>
      </c>
      <c r="E15" s="15" t="n">
        <f aca="false">(1+Допущения!$F$12)^(B15-1)</f>
        <v>1</v>
      </c>
      <c r="F15" s="17" t="n">
        <f aca="false">Допущения!$F$71*E15</f>
        <v>2465.68</v>
      </c>
      <c r="G15" s="17" t="n">
        <f aca="false">MIN(G14*(1+Допущения!$F$33),Допущения!$F$34)</f>
        <v>634749.7291776</v>
      </c>
      <c r="H15" s="25" t="n">
        <f aca="false">MIN(Допущения!$F$30,G15/Допущения!$F$29)</f>
        <v>300</v>
      </c>
      <c r="I15" s="25" t="n">
        <f aca="false">MAX(0,G15-H15*Допущения!$F$29)/Допущения!$F$31</f>
        <v>30.7916215296</v>
      </c>
      <c r="J15" s="25" t="n">
        <f aca="false">IF(A15&gt;=Допущения!$F$35,Допущения!$F$36,0)</f>
        <v>40</v>
      </c>
      <c r="K15" s="25" t="n">
        <f aca="false">H15+I15+J15</f>
        <v>370.7916215296</v>
      </c>
      <c r="L15" s="25" t="n">
        <f aca="false">(L14-K14)*(1-Допущения!$F$44)+K14*(1-Допущения!$F$43)+K15</f>
        <v>1738.15050465843</v>
      </c>
      <c r="M15" s="25" t="n">
        <f aca="false">IF(A15&gt;=Допущения!$F$38,Допущения!$F$73/Допущения!$F$42*MIN(Допущения!$F$42,A15-Допущения!$F$38+1),0)</f>
        <v>60</v>
      </c>
      <c r="N15" s="25" t="n">
        <f aca="false">N14*(1-Допущения!$F$45)+M15</f>
        <v>176.03984</v>
      </c>
      <c r="O15" s="25" t="n">
        <f aca="false">L15+N15</f>
        <v>1914.19034465843</v>
      </c>
      <c r="P15" s="25" t="n">
        <f aca="false">L15*Допущения!$F$25</f>
        <v>521.44515139753</v>
      </c>
      <c r="Q15" s="25" t="n">
        <f aca="false">L15*(1-Допущения!$F$25)+N15</f>
        <v>1392.7451932609</v>
      </c>
      <c r="R15" s="17" t="n">
        <f aca="false">MAX(Допущения!$F$18,ROUNDUP(Q15/Допущения!$F$68+P15/Допущения!$F$69,0))</f>
        <v>28</v>
      </c>
      <c r="S15" s="17" t="n">
        <f aca="false">ROUNDUP(R15/Допущения!$F$48,0)</f>
        <v>3</v>
      </c>
      <c r="T15" s="17" t="n">
        <f aca="false">L15*F15/(1+Допущения!$F$6)</f>
        <v>3512887.6527264</v>
      </c>
      <c r="U15" s="17" t="n">
        <f aca="false">N15*Допущения!$F$28*E15/(1+Допущения!$F$6)</f>
        <v>216442.426229508</v>
      </c>
      <c r="V15" s="17" t="n">
        <f aca="false">O15*Допущения!$F$26*Допущения!$F$27/(1+Допущения!$F$6)</f>
        <v>235351.271884233</v>
      </c>
      <c r="W15" s="17" t="n">
        <f aca="false">T15+U15+V15</f>
        <v>3964681.35084014</v>
      </c>
      <c r="X15" s="17" t="n">
        <f aca="false">J15*Допущения!$F$37</f>
        <v>20000</v>
      </c>
      <c r="Y15" s="17" t="n">
        <f aca="false">(R15*Допущения!$F$47+S15*Допущения!$F$49)*D15*Допущения!$F$9</f>
        <v>3606540</v>
      </c>
      <c r="Z15" s="17" t="n">
        <f aca="false">(MAX(0,R15-R14)+R15*Допущения!$F$50/12)*Допущения!$F$51*D15</f>
        <v>286750</v>
      </c>
      <c r="AA15" s="17" t="n">
        <f aca="false">O15*(Допущения!$F$53+Допущения!$F$54)+(L15*F15+N15*Допущения!$F$28*E15)*Допущения!$F$13</f>
        <v>933710.791906874</v>
      </c>
      <c r="AB15" s="17" t="n">
        <f aca="false">(R15+S15)*Допущения!$F$52</f>
        <v>83700</v>
      </c>
      <c r="AC15" s="17" t="n">
        <f aca="false">SUMPRODUCT(Допущения!$B$84:$B$91,Допущения!$C$84:$C$91,--(Допущения!$D$84:$D$91&lt;=A15))*D15*Допущения!$F$9</f>
        <v>1966020</v>
      </c>
      <c r="AD15" s="17" t="n">
        <f aca="false">(AC15+Y15)*Допущения!$F$14</f>
        <v>557256</v>
      </c>
      <c r="AE15" s="17" t="n">
        <f aca="false">Допущения!$F$55+Допущения!$F$56*O15/1000+Допущения!$F$57</f>
        <v>155313.522757267</v>
      </c>
      <c r="AF15" s="17" t="n">
        <f aca="false">SUMIF(Допущения!$B$95:$B$103,A15,Допущения!$C$95:$C$103)</f>
        <v>350000</v>
      </c>
      <c r="AG15" s="17" t="n">
        <v>0</v>
      </c>
      <c r="AH15" s="17" t="n">
        <f aca="false">G15+SUM(X15:AG15)</f>
        <v>8594040.04384174</v>
      </c>
      <c r="AI15" s="17" t="n">
        <f aca="false">W15-AH15</f>
        <v>-4629358.69300161</v>
      </c>
      <c r="AJ15" s="17" t="n">
        <f aca="false">AJ14+AI15</f>
        <v>-33037702.0327463</v>
      </c>
      <c r="AK15" s="17" t="n">
        <f aca="false">O15*Допущения!$F$58*Допущения!$F$59</f>
        <v>63168.2813737283</v>
      </c>
      <c r="AL15" s="17" t="n">
        <f aca="false">T15*Допущения!$F$72</f>
        <v>177120.385851751</v>
      </c>
      <c r="AM15" s="17" t="n">
        <f aca="false">IF(MOD(A15,12)=0,INDEX($F$70:$F$74,B15),0)</f>
        <v>0</v>
      </c>
      <c r="AN15" s="17" t="n">
        <f aca="false">AI15-AM15</f>
        <v>-4629358.69300161</v>
      </c>
      <c r="AO15" s="26" t="n">
        <f aca="false">1/(1+Допущения!$F$74)^A15</f>
        <v>0.847292719032763</v>
      </c>
      <c r="AP15" s="21" t="str">
        <f aca="false">IF(AND(A15&gt;Допущения!$F$19,MIN(AI15:AI$65)&gt;0),A15,"")</f>
        <v/>
      </c>
      <c r="AQ15" s="21" t="str">
        <f aca="false">IF(MIN(AJ15:AJ$65)&gt;0,A15,"")</f>
        <v/>
      </c>
    </row>
    <row r="16" customFormat="false" ht="15" hidden="false" customHeight="false" outlineLevel="0" collapsed="false">
      <c r="A16" s="28" t="n">
        <v>11</v>
      </c>
      <c r="B16" s="28" t="n">
        <f aca="false">INT((A16-1)/12)+1</f>
        <v>1</v>
      </c>
      <c r="C16" s="12" t="s">
        <v>462</v>
      </c>
      <c r="D16" s="15" t="n">
        <f aca="false">(1+Допущения!$F$11)^(B16-1)</f>
        <v>1</v>
      </c>
      <c r="E16" s="15" t="n">
        <f aca="false">(1+Допущения!$F$12)^(B16-1)</f>
        <v>1</v>
      </c>
      <c r="F16" s="17" t="n">
        <f aca="false">Допущения!$F$71*E16</f>
        <v>2465.68</v>
      </c>
      <c r="G16" s="17" t="n">
        <f aca="false">MIN(G15*(1+Допущения!$F$33),Допущения!$F$34)</f>
        <v>685529.707511808</v>
      </c>
      <c r="H16" s="25" t="n">
        <f aca="false">MIN(Допущения!$F$30,G16/Допущения!$F$29)</f>
        <v>300</v>
      </c>
      <c r="I16" s="25" t="n">
        <f aca="false">MAX(0,G16-H16*Допущения!$F$29)/Допущения!$F$31</f>
        <v>39.254951251968</v>
      </c>
      <c r="J16" s="25" t="n">
        <f aca="false">IF(A16&gt;=Допущения!$F$35,Допущения!$F$36,0)</f>
        <v>40</v>
      </c>
      <c r="K16" s="25" t="n">
        <f aca="false">H16+I16+J16</f>
        <v>379.254951251968</v>
      </c>
      <c r="L16" s="25" t="n">
        <f aca="false">(L15-K15)*(1-Допущения!$F$44)+K15*(1-Допущения!$F$43)+K16</f>
        <v>1942.66601754027</v>
      </c>
      <c r="M16" s="25" t="n">
        <f aca="false">IF(A16&gt;=Допущения!$F$38,Допущения!$F$73/Допущения!$F$42*MIN(Допущения!$F$42,A16-Допущения!$F$38+1),0)</f>
        <v>60</v>
      </c>
      <c r="N16" s="25" t="n">
        <f aca="false">N15*(1-Допущения!$F$45)+M16</f>
        <v>232.5190432</v>
      </c>
      <c r="O16" s="25" t="n">
        <f aca="false">L16+N16</f>
        <v>2175.18506074027</v>
      </c>
      <c r="P16" s="25" t="n">
        <f aca="false">L16*Допущения!$F$25</f>
        <v>582.799805262081</v>
      </c>
      <c r="Q16" s="25" t="n">
        <f aca="false">L16*(1-Допущения!$F$25)+N16</f>
        <v>1592.38525547819</v>
      </c>
      <c r="R16" s="17" t="n">
        <f aca="false">MAX(Допущения!$F$18,ROUNDUP(Q16/Допущения!$F$68+P16/Допущения!$F$69,0))</f>
        <v>32</v>
      </c>
      <c r="S16" s="17" t="n">
        <f aca="false">ROUNDUP(R16/Допущения!$F$48,0)</f>
        <v>4</v>
      </c>
      <c r="T16" s="17" t="n">
        <f aca="false">L16*F16/(1+Допущения!$F$6)</f>
        <v>3926223.56240057</v>
      </c>
      <c r="U16" s="17" t="n">
        <f aca="false">N16*Допущения!$F$28*E16/(1+Допущения!$F$6)</f>
        <v>285884.069508197</v>
      </c>
      <c r="V16" s="17" t="n">
        <f aca="false">O16*Допущения!$F$26*Допущения!$F$27/(1+Допущения!$F$6)</f>
        <v>267440.786156591</v>
      </c>
      <c r="W16" s="17" t="n">
        <f aca="false">T16+U16+V16</f>
        <v>4479548.41806536</v>
      </c>
      <c r="X16" s="17" t="n">
        <f aca="false">J16*Допущения!$F$37</f>
        <v>20000</v>
      </c>
      <c r="Y16" s="17" t="n">
        <f aca="false">(R16*Допущения!$F$47+S16*Допущения!$F$49)*D16*Допущения!$F$9</f>
        <v>4218480</v>
      </c>
      <c r="Z16" s="17" t="n">
        <f aca="false">(MAX(0,R16-R15)+R16*Допущения!$F$50/12)*Допущения!$F$51*D16</f>
        <v>372000</v>
      </c>
      <c r="AA16" s="17" t="n">
        <f aca="false">O16*(Допущения!$F$53+Допущения!$F$54)+(L16*F16+N16*Допущения!$F$28*E16)*Допущения!$F$13</f>
        <v>1060455.23562614</v>
      </c>
      <c r="AB16" s="17" t="n">
        <f aca="false">(R16+S16)*Допущения!$F$52</f>
        <v>97200</v>
      </c>
      <c r="AC16" s="17" t="n">
        <f aca="false">SUMPRODUCT(Допущения!$B$84:$B$91,Допущения!$C$84:$C$91,--(Допущения!$D$84:$D$91&lt;=A16))*D16*Допущения!$F$9</f>
        <v>1966020</v>
      </c>
      <c r="AD16" s="17" t="n">
        <f aca="false">(AC16+Y16)*Допущения!$F$14</f>
        <v>618450</v>
      </c>
      <c r="AE16" s="17" t="n">
        <f aca="false">Допущения!$F$55+Допущения!$F$56*O16/1000+Допущения!$F$57</f>
        <v>157401.480485922</v>
      </c>
      <c r="AF16" s="17" t="n">
        <f aca="false">SUMIF(Допущения!$B$95:$B$103,A16,Допущения!$C$95:$C$103)</f>
        <v>350000</v>
      </c>
      <c r="AG16" s="17" t="n">
        <v>0</v>
      </c>
      <c r="AH16" s="17" t="n">
        <f aca="false">G16+SUM(X16:AG16)</f>
        <v>9545536.42362387</v>
      </c>
      <c r="AI16" s="17" t="n">
        <f aca="false">W16-AH16</f>
        <v>-5065988.00555851</v>
      </c>
      <c r="AJ16" s="17" t="n">
        <f aca="false">AJ15+AI16</f>
        <v>-38103690.0383049</v>
      </c>
      <c r="AK16" s="17" t="n">
        <f aca="false">O16*Допущения!$F$58*Допущения!$F$59</f>
        <v>71781.1070044289</v>
      </c>
      <c r="AL16" s="17" t="n">
        <f aca="false">T16*Допущения!$F$72</f>
        <v>197960.851885743</v>
      </c>
      <c r="AM16" s="17" t="n">
        <f aca="false">IF(MOD(A16,12)=0,INDEX($F$70:$F$74,B16),0)</f>
        <v>0</v>
      </c>
      <c r="AN16" s="17" t="n">
        <f aca="false">AI16-AM16</f>
        <v>-5065988.00555851</v>
      </c>
      <c r="AO16" s="26" t="n">
        <f aca="false">1/(1+Допущения!$F$74)^A16</f>
        <v>0.833368003174696</v>
      </c>
      <c r="AP16" s="21" t="str">
        <f aca="false">IF(AND(A16&gt;Допущения!$F$19,MIN(AI16:AI$65)&gt;0),A16,"")</f>
        <v/>
      </c>
      <c r="AQ16" s="21" t="str">
        <f aca="false">IF(MIN(AJ16:AJ$65)&gt;0,A16,"")</f>
        <v/>
      </c>
    </row>
    <row r="17" customFormat="false" ht="15" hidden="false" customHeight="false" outlineLevel="0" collapsed="false">
      <c r="A17" s="28" t="n">
        <v>12</v>
      </c>
      <c r="B17" s="28" t="n">
        <f aca="false">INT((A17-1)/12)+1</f>
        <v>1</v>
      </c>
      <c r="C17" s="12" t="s">
        <v>462</v>
      </c>
      <c r="D17" s="15" t="n">
        <f aca="false">(1+Допущения!$F$11)^(B17-1)</f>
        <v>1</v>
      </c>
      <c r="E17" s="15" t="n">
        <f aca="false">(1+Допущения!$F$12)^(B17-1)</f>
        <v>1</v>
      </c>
      <c r="F17" s="17" t="n">
        <f aca="false">Допущения!$F$71*E17</f>
        <v>2465.68</v>
      </c>
      <c r="G17" s="17" t="n">
        <f aca="false">MIN(G16*(1+Допущения!$F$33),Допущения!$F$34)</f>
        <v>740372.084112753</v>
      </c>
      <c r="H17" s="25" t="n">
        <f aca="false">MIN(Допущения!$F$30,G17/Допущения!$F$29)</f>
        <v>300</v>
      </c>
      <c r="I17" s="25" t="n">
        <f aca="false">MAX(0,G17-H17*Допущения!$F$29)/Допущения!$F$31</f>
        <v>48.3953473521255</v>
      </c>
      <c r="J17" s="25" t="n">
        <f aca="false">IF(A17&gt;=Допущения!$F$35,Допущения!$F$36,0)</f>
        <v>40</v>
      </c>
      <c r="K17" s="25" t="n">
        <f aca="false">H17+I17+J17</f>
        <v>388.395347352126</v>
      </c>
      <c r="L17" s="25" t="n">
        <f aca="false">(L16-K16)*(1-Допущения!$F$44)+K16*(1-Допущения!$F$43)+K17</f>
        <v>2142.44296310211</v>
      </c>
      <c r="M17" s="25" t="n">
        <f aca="false">IF(A17&gt;=Допущения!$F$38,Допущения!$F$73/Допущения!$F$42*MIN(Допущения!$F$42,A17-Допущения!$F$38+1),0)</f>
        <v>60</v>
      </c>
      <c r="N17" s="25" t="n">
        <f aca="false">N16*(1-Допущения!$F$45)+M17</f>
        <v>287.868662336</v>
      </c>
      <c r="O17" s="25" t="n">
        <f aca="false">L17+N17</f>
        <v>2430.31162543811</v>
      </c>
      <c r="P17" s="25" t="n">
        <f aca="false">L17*Допущения!$F$25</f>
        <v>642.732888930632</v>
      </c>
      <c r="Q17" s="25" t="n">
        <f aca="false">L17*(1-Допущения!$F$25)+N17</f>
        <v>1787.57873650747</v>
      </c>
      <c r="R17" s="17" t="n">
        <f aca="false">MAX(Допущения!$F$18,ROUNDUP(Q17/Допущения!$F$68+P17/Допущения!$F$69,0))</f>
        <v>36</v>
      </c>
      <c r="S17" s="17" t="n">
        <f aca="false">ROUNDUP(R17/Допущения!$F$48,0)</f>
        <v>4</v>
      </c>
      <c r="T17" s="17" t="n">
        <f aca="false">L17*F17/(1+Допущения!$F$6)</f>
        <v>4329982.59447672</v>
      </c>
      <c r="U17" s="17" t="n">
        <f aca="false">N17*Допущения!$F$28*E17/(1+Допущения!$F$6)</f>
        <v>353936.879921312</v>
      </c>
      <c r="V17" s="17" t="n">
        <f aca="false">O17*Допущения!$F$26*Допущения!$F$27/(1+Допущения!$F$6)</f>
        <v>298808.806406324</v>
      </c>
      <c r="W17" s="17" t="n">
        <f aca="false">T17+U17+V17</f>
        <v>4982728.28080436</v>
      </c>
      <c r="X17" s="17" t="n">
        <f aca="false">J17*Допущения!$F$37</f>
        <v>20000</v>
      </c>
      <c r="Y17" s="17" t="n">
        <f aca="false">(R17*Допущения!$F$47+S17*Допущения!$F$49)*D17*Допущения!$F$9</f>
        <v>4661160</v>
      </c>
      <c r="Z17" s="17" t="n">
        <f aca="false">(MAX(0,R17-R16)+R17*Допущения!$F$50/12)*Допущения!$F$51*D17</f>
        <v>379750</v>
      </c>
      <c r="AA17" s="17" t="n">
        <f aca="false">O17*(Допущения!$F$53+Допущения!$F$54)+(L17*F17+N17*Допущения!$F$28*E17)*Допущения!$F$13</f>
        <v>1184347.54497774</v>
      </c>
      <c r="AB17" s="17" t="n">
        <f aca="false">(R17+S17)*Допущения!$F$52</f>
        <v>108000</v>
      </c>
      <c r="AC17" s="17" t="n">
        <f aca="false">SUMPRODUCT(Допущения!$B$84:$B$91,Допущения!$C$84:$C$91,--(Допущения!$D$84:$D$91&lt;=A17))*D17*Допущения!$F$9</f>
        <v>1966020</v>
      </c>
      <c r="AD17" s="17" t="n">
        <f aca="false">(AC17+Y17)*Допущения!$F$14</f>
        <v>662718</v>
      </c>
      <c r="AE17" s="17" t="n">
        <f aca="false">Допущения!$F$55+Допущения!$F$56*O17/1000+Допущения!$F$57</f>
        <v>159442.493003505</v>
      </c>
      <c r="AF17" s="17" t="n">
        <f aca="false">SUMIF(Допущения!$B$95:$B$103,A17,Допущения!$C$95:$C$103)</f>
        <v>300000</v>
      </c>
      <c r="AG17" s="17" t="n">
        <v>0</v>
      </c>
      <c r="AH17" s="17" t="n">
        <f aca="false">G17+SUM(X17:AG17)</f>
        <v>10181810.122094</v>
      </c>
      <c r="AI17" s="17" t="n">
        <f aca="false">W17-AH17</f>
        <v>-5199081.84128964</v>
      </c>
      <c r="AJ17" s="17" t="n">
        <f aca="false">AJ16+AI17</f>
        <v>-43302771.8795945</v>
      </c>
      <c r="AK17" s="17" t="n">
        <f aca="false">O17*Допущения!$F$58*Допущения!$F$59</f>
        <v>80200.2836394575</v>
      </c>
      <c r="AL17" s="17" t="n">
        <f aca="false">T17*Допущения!$F$72</f>
        <v>218318.450141683</v>
      </c>
      <c r="AM17" s="17" t="n">
        <f aca="false">IF(MOD(A17,12)=0,INDEX($F$70:$F$74,B17),0)</f>
        <v>0</v>
      </c>
      <c r="AN17" s="17" t="n">
        <f aca="false">AI17-AM17</f>
        <v>-5199081.84128964</v>
      </c>
      <c r="AO17" s="26" t="n">
        <f aca="false">1/(1+Допущения!$F$74)^A17</f>
        <v>0.819672131147542</v>
      </c>
      <c r="AP17" s="21" t="str">
        <f aca="false">IF(AND(A17&gt;Допущения!$F$19,MIN(AI17:AI$65)&gt;0),A17,"")</f>
        <v/>
      </c>
      <c r="AQ17" s="21" t="str">
        <f aca="false">IF(MIN(AJ17:AJ$65)&gt;0,A17,"")</f>
        <v/>
      </c>
    </row>
    <row r="18" customFormat="false" ht="15" hidden="false" customHeight="false" outlineLevel="0" collapsed="false">
      <c r="A18" s="28" t="n">
        <v>13</v>
      </c>
      <c r="B18" s="28" t="n">
        <f aca="false">INT((A18-1)/12)+1</f>
        <v>2</v>
      </c>
      <c r="C18" s="12" t="s">
        <v>462</v>
      </c>
      <c r="D18" s="15" t="n">
        <f aca="false">(1+Допущения!$F$11)^(B18-1)</f>
        <v>1.08</v>
      </c>
      <c r="E18" s="15" t="n">
        <f aca="false">(1+Допущения!$F$12)^(B18-1)</f>
        <v>1.07</v>
      </c>
      <c r="F18" s="17" t="n">
        <f aca="false">Допущения!$F$71*E18</f>
        <v>2638.2776</v>
      </c>
      <c r="G18" s="17" t="n">
        <f aca="false">MIN(G17*(1+Допущения!$F$33),Допущения!$F$34)</f>
        <v>799601.850841773</v>
      </c>
      <c r="H18" s="25" t="n">
        <f aca="false">MIN(Допущения!$F$30,G18/Допущения!$F$29)</f>
        <v>300</v>
      </c>
      <c r="I18" s="25" t="n">
        <f aca="false">MAX(0,G18-H18*Допущения!$F$29)/Допущения!$F$31</f>
        <v>58.2669751402955</v>
      </c>
      <c r="J18" s="25" t="n">
        <f aca="false">IF(A18&gt;=Допущения!$F$35,Допущения!$F$36,0)</f>
        <v>40</v>
      </c>
      <c r="K18" s="25" t="n">
        <f aca="false">H18+I18+J18</f>
        <v>398.266975140296</v>
      </c>
      <c r="L18" s="25" t="n">
        <f aca="false">(L17-K17)*(1-Допущения!$F$44)+K17*(1-Допущения!$F$43)+K18</f>
        <v>2338.36824445937</v>
      </c>
      <c r="M18" s="25" t="n">
        <f aca="false">IF(A18&gt;=Допущения!$F$38,Допущения!$F$73/Допущения!$F$42*MIN(Допущения!$F$42,A18-Допущения!$F$38+1),0)</f>
        <v>60</v>
      </c>
      <c r="N18" s="25" t="n">
        <f aca="false">N17*(1-Допущения!$F$45)+M18</f>
        <v>342.11128908928</v>
      </c>
      <c r="O18" s="25" t="n">
        <f aca="false">L18+N18</f>
        <v>2680.47953354865</v>
      </c>
      <c r="P18" s="25" t="n">
        <f aca="false">L18*Допущения!$F$25</f>
        <v>701.510473337811</v>
      </c>
      <c r="Q18" s="25" t="n">
        <f aca="false">L18*(1-Допущения!$F$25)+N18</f>
        <v>1978.96906021084</v>
      </c>
      <c r="R18" s="17" t="n">
        <f aca="false">MAX(Допущения!$F$18,ROUNDUP(Q18/Допущения!$F$68+P18/Допущения!$F$69,0))</f>
        <v>39</v>
      </c>
      <c r="S18" s="17" t="n">
        <f aca="false">ROUNDUP(R18/Допущения!$F$48,0)</f>
        <v>4</v>
      </c>
      <c r="T18" s="17" t="n">
        <f aca="false">L18*F18/(1+Допущения!$F$6)</f>
        <v>5056774.22943318</v>
      </c>
      <c r="U18" s="17" t="n">
        <f aca="false">N18*Допущения!$F$28*E18/(1+Допущения!$F$6)</f>
        <v>450072.638514995</v>
      </c>
      <c r="V18" s="17" t="n">
        <f aca="false">O18*Допущения!$F$26*Допущения!$F$27/(1+Допущения!$F$6)</f>
        <v>329567.155764178</v>
      </c>
      <c r="W18" s="17" t="n">
        <f aca="false">T18+U18+V18</f>
        <v>5836414.02371236</v>
      </c>
      <c r="X18" s="17" t="n">
        <f aca="false">J18*Допущения!$F$37</f>
        <v>20000</v>
      </c>
      <c r="Y18" s="17" t="n">
        <f aca="false">(R18*Допущения!$F$47+S18*Допущения!$F$49)*D18*Допущения!$F$9</f>
        <v>5392623.6</v>
      </c>
      <c r="Z18" s="17" t="n">
        <f aca="false">(MAX(0,R18-R17)+R18*Допущения!$F$50/12)*Допущения!$F$51*D18</f>
        <v>332707.5</v>
      </c>
      <c r="AA18" s="17" t="n">
        <f aca="false">O18*(Допущения!$F$53+Допущения!$F$54)+(L18*F18+N18*Допущения!$F$28*E18)*Допущения!$F$13</f>
        <v>1313743.74964929</v>
      </c>
      <c r="AB18" s="17" t="n">
        <f aca="false">(R18+S18)*Допущения!$F$52</f>
        <v>116100</v>
      </c>
      <c r="AC18" s="17" t="n">
        <f aca="false">SUMPRODUCT(Допущения!$B$84:$B$91,Допущения!$C$84:$C$91,--(Допущения!$D$84:$D$91&lt;=A18))*D18*Допущения!$F$9</f>
        <v>2123301.6</v>
      </c>
      <c r="AD18" s="17" t="n">
        <f aca="false">(AC18+Y18)*Допущения!$F$14</f>
        <v>751592.52</v>
      </c>
      <c r="AE18" s="17" t="n">
        <f aca="false">Допущения!$F$55+Допущения!$F$56*O18/1000+Допущения!$F$57</f>
        <v>161443.836268389</v>
      </c>
      <c r="AF18" s="17" t="n">
        <f aca="false">SUMIF(Допущения!$B$95:$B$103,A18,Допущения!$C$95:$C$103)</f>
        <v>0</v>
      </c>
      <c r="AG18" s="17" t="n">
        <v>0</v>
      </c>
      <c r="AH18" s="17" t="n">
        <f aca="false">G18+SUM(X18:AG18)</f>
        <v>11011114.6567595</v>
      </c>
      <c r="AI18" s="17" t="n">
        <f aca="false">W18-AH18</f>
        <v>-5174700.6330471</v>
      </c>
      <c r="AJ18" s="17" t="n">
        <f aca="false">AJ17+AI18</f>
        <v>-48477472.5126416</v>
      </c>
      <c r="AK18" s="17" t="n">
        <f aca="false">O18*Допущения!$F$58*Допущения!$F$59</f>
        <v>88455.8246071055</v>
      </c>
      <c r="AL18" s="17" t="n">
        <f aca="false">T18*Допущения!$F$72</f>
        <v>254963.406526043</v>
      </c>
      <c r="AM18" s="17" t="n">
        <f aca="false">IF(MOD(A18,12)=0,INDEX($F$70:$F$74,B18),0)</f>
        <v>0</v>
      </c>
      <c r="AN18" s="17" t="n">
        <f aca="false">AI18-AM18</f>
        <v>-5174700.6330471</v>
      </c>
      <c r="AO18" s="26" t="n">
        <f aca="false">1/(1+Допущения!$F$74)^A18</f>
        <v>0.806201342048782</v>
      </c>
      <c r="AP18" s="21" t="str">
        <f aca="false">IF(AND(A18&gt;Допущения!$F$19,MIN(AI18:AI$65)&gt;0),A18,"")</f>
        <v/>
      </c>
      <c r="AQ18" s="21" t="str">
        <f aca="false">IF(MIN(AJ18:AJ$65)&gt;0,A18,"")</f>
        <v/>
      </c>
    </row>
    <row r="19" customFormat="false" ht="15" hidden="false" customHeight="false" outlineLevel="0" collapsed="false">
      <c r="A19" s="28" t="n">
        <v>14</v>
      </c>
      <c r="B19" s="28" t="n">
        <f aca="false">INT((A19-1)/12)+1</f>
        <v>2</v>
      </c>
      <c r="C19" s="12" t="s">
        <v>462</v>
      </c>
      <c r="D19" s="15" t="n">
        <f aca="false">(1+Допущения!$F$11)^(B19-1)</f>
        <v>1.08</v>
      </c>
      <c r="E19" s="15" t="n">
        <f aca="false">(1+Допущения!$F$12)^(B19-1)</f>
        <v>1.07</v>
      </c>
      <c r="F19" s="17" t="n">
        <f aca="false">Допущения!$F$71*E19</f>
        <v>2638.2776</v>
      </c>
      <c r="G19" s="17" t="n">
        <f aca="false">MIN(G18*(1+Допущения!$F$33),Допущения!$F$34)</f>
        <v>863569.998909115</v>
      </c>
      <c r="H19" s="25" t="n">
        <f aca="false">MIN(Допущения!$F$30,G19/Допущения!$F$29)</f>
        <v>300</v>
      </c>
      <c r="I19" s="25" t="n">
        <f aca="false">MAX(0,G19-H19*Допущения!$F$29)/Допущения!$F$31</f>
        <v>68.9283331515192</v>
      </c>
      <c r="J19" s="25" t="n">
        <f aca="false">IF(A19&gt;=Допущения!$F$35,Допущения!$F$36,0)</f>
        <v>40</v>
      </c>
      <c r="K19" s="25" t="n">
        <f aca="false">H19+I19+J19</f>
        <v>408.928333151519</v>
      </c>
      <c r="L19" s="25" t="n">
        <f aca="false">(L18-K18)*(1-Допущения!$F$44)+K18*(1-Допущения!$F$43)+K19</f>
        <v>2531.32375766667</v>
      </c>
      <c r="M19" s="25" t="n">
        <f aca="false">IF(A19&gt;=Допущения!$F$38,Допущения!$F$73/Допущения!$F$42*MIN(Допущения!$F$42,A19-Допущения!$F$38+1),0)</f>
        <v>60</v>
      </c>
      <c r="N19" s="25" t="n">
        <f aca="false">N18*(1-Допущения!$F$45)+M19</f>
        <v>395.269063307494</v>
      </c>
      <c r="O19" s="25" t="n">
        <f aca="false">L19+N19</f>
        <v>2926.59282097417</v>
      </c>
      <c r="P19" s="25" t="n">
        <f aca="false">L19*Допущения!$F$25</f>
        <v>759.397127300001</v>
      </c>
      <c r="Q19" s="25" t="n">
        <f aca="false">L19*(1-Допущения!$F$25)+N19</f>
        <v>2167.19569367416</v>
      </c>
      <c r="R19" s="17" t="n">
        <f aca="false">MAX(Допущения!$F$18,ROUNDUP(Q19/Допущения!$F$68+P19/Допущения!$F$69,0))</f>
        <v>43</v>
      </c>
      <c r="S19" s="17" t="n">
        <f aca="false">ROUNDUP(R19/Допущения!$F$48,0)</f>
        <v>5</v>
      </c>
      <c r="T19" s="17" t="n">
        <f aca="false">L19*F19/(1+Допущения!$F$6)</f>
        <v>5474044.89196706</v>
      </c>
      <c r="U19" s="17" t="n">
        <f aca="false">N19*Допущения!$F$28*E19/(1+Допущения!$F$6)</f>
        <v>520005.611974204</v>
      </c>
      <c r="V19" s="17" t="n">
        <f aca="false">O19*Допущения!$F$26*Допущения!$F$27/(1+Допущения!$F$6)</f>
        <v>359826.986185348</v>
      </c>
      <c r="W19" s="17" t="n">
        <f aca="false">T19+U19+V19</f>
        <v>6353877.49012661</v>
      </c>
      <c r="X19" s="17" t="n">
        <f aca="false">J19*Допущения!$F$37</f>
        <v>20000</v>
      </c>
      <c r="Y19" s="17" t="n">
        <f aca="false">(R19*Допущения!$F$47+S19*Допущения!$F$49)*D19*Допущения!$F$9</f>
        <v>6053518.8</v>
      </c>
      <c r="Z19" s="17" t="n">
        <f aca="false">(MAX(0,R19-R18)+R19*Допущения!$F$50/12)*Допущения!$F$51*D19</f>
        <v>424777.5</v>
      </c>
      <c r="AA19" s="17" t="n">
        <f aca="false">O19*(Допущения!$F$53+Допущения!$F$54)+(L19*F19+N19*Допущения!$F$28*E19)*Допущения!$F$13</f>
        <v>1433963.15440005</v>
      </c>
      <c r="AB19" s="17" t="n">
        <f aca="false">(R19+S19)*Допущения!$F$52</f>
        <v>129600</v>
      </c>
      <c r="AC19" s="17" t="n">
        <f aca="false">SUMPRODUCT(Допущения!$B$84:$B$91,Допущения!$C$84:$C$91,--(Допущения!$D$84:$D$91&lt;=A19))*D19*Допущения!$F$9</f>
        <v>2123301.6</v>
      </c>
      <c r="AD19" s="17" t="n">
        <f aca="false">(AC19+Y19)*Допущения!$F$14</f>
        <v>817682.04</v>
      </c>
      <c r="AE19" s="17" t="n">
        <f aca="false">Допущения!$F$55+Допущения!$F$56*O19/1000+Допущения!$F$57</f>
        <v>163412.742567793</v>
      </c>
      <c r="AF19" s="17" t="n">
        <f aca="false">SUMIF(Допущения!$B$95:$B$103,A19,Допущения!$C$95:$C$103)</f>
        <v>0</v>
      </c>
      <c r="AG19" s="17" t="n">
        <v>0</v>
      </c>
      <c r="AH19" s="17" t="n">
        <f aca="false">G19+SUM(X19:AG19)</f>
        <v>12029825.835877</v>
      </c>
      <c r="AI19" s="17" t="n">
        <f aca="false">W19-AH19</f>
        <v>-5675948.34575035</v>
      </c>
      <c r="AJ19" s="17" t="n">
        <f aca="false">AJ18+AI19</f>
        <v>-54153420.858392</v>
      </c>
      <c r="AK19" s="17" t="n">
        <f aca="false">O19*Допущения!$F$58*Допущения!$F$59</f>
        <v>96577.5630921475</v>
      </c>
      <c r="AL19" s="17" t="n">
        <f aca="false">T19*Допущения!$F$72</f>
        <v>276002.263460524</v>
      </c>
      <c r="AM19" s="17" t="n">
        <f aca="false">IF(MOD(A19,12)=0,INDEX($F$70:$F$74,B19),0)</f>
        <v>0</v>
      </c>
      <c r="AN19" s="17" t="n">
        <f aca="false">AI19-AM19</f>
        <v>-5675948.34575035</v>
      </c>
      <c r="AO19" s="26" t="n">
        <f aca="false">1/(1+Допущения!$F$74)^A19</f>
        <v>0.792951936783932</v>
      </c>
      <c r="AP19" s="21" t="str">
        <f aca="false">IF(AND(A19&gt;Допущения!$F$19,MIN(AI19:AI$65)&gt;0),A19,"")</f>
        <v/>
      </c>
      <c r="AQ19" s="21" t="str">
        <f aca="false">IF(MIN(AJ19:AJ$65)&gt;0,A19,"")</f>
        <v/>
      </c>
    </row>
    <row r="20" customFormat="false" ht="15" hidden="false" customHeight="false" outlineLevel="0" collapsed="false">
      <c r="A20" s="28" t="n">
        <v>15</v>
      </c>
      <c r="B20" s="28" t="n">
        <f aca="false">INT((A20-1)/12)+1</f>
        <v>2</v>
      </c>
      <c r="C20" s="12" t="s">
        <v>462</v>
      </c>
      <c r="D20" s="15" t="n">
        <f aca="false">(1+Допущения!$F$11)^(B20-1)</f>
        <v>1.08</v>
      </c>
      <c r="E20" s="15" t="n">
        <f aca="false">(1+Допущения!$F$12)^(B20-1)</f>
        <v>1.07</v>
      </c>
      <c r="F20" s="17" t="n">
        <f aca="false">Допущения!$F$71*E20</f>
        <v>2638.2776</v>
      </c>
      <c r="G20" s="17" t="n">
        <f aca="false">MIN(G19*(1+Допущения!$F$33),Допущения!$F$34)</f>
        <v>932655.598821844</v>
      </c>
      <c r="H20" s="25" t="n">
        <f aca="false">MIN(Допущения!$F$30,G20/Допущения!$F$29)</f>
        <v>300</v>
      </c>
      <c r="I20" s="25" t="n">
        <f aca="false">MAX(0,G20-H20*Допущения!$F$29)/Допущения!$F$31</f>
        <v>80.4425998036407</v>
      </c>
      <c r="J20" s="25" t="n">
        <f aca="false">IF(A20&gt;=Допущения!$F$35,Допущения!$F$36,0)</f>
        <v>40</v>
      </c>
      <c r="K20" s="25" t="n">
        <f aca="false">H20+I20+J20</f>
        <v>420.442599803641</v>
      </c>
      <c r="L20" s="25" t="n">
        <f aca="false">(L19-K19)*(1-Допущения!$F$44)+K19*(1-Допущения!$F$43)+K20</f>
        <v>2722.19054871152</v>
      </c>
      <c r="M20" s="25" t="n">
        <f aca="false">IF(A20&gt;=Допущения!$F$38,Допущения!$F$73/Допущения!$F$42*MIN(Допущения!$F$42,A20-Допущения!$F$38+1),0)</f>
        <v>60</v>
      </c>
      <c r="N20" s="25" t="n">
        <f aca="false">N19*(1-Допущения!$F$45)+M20</f>
        <v>447.363682041345</v>
      </c>
      <c r="O20" s="25" t="n">
        <f aca="false">L20+N20</f>
        <v>3169.55423075287</v>
      </c>
      <c r="P20" s="25" t="n">
        <f aca="false">L20*Допущения!$F$25</f>
        <v>816.657164613457</v>
      </c>
      <c r="Q20" s="25" t="n">
        <f aca="false">L20*(1-Допущения!$F$25)+N20</f>
        <v>2352.89706613941</v>
      </c>
      <c r="R20" s="17" t="n">
        <f aca="false">MAX(Допущения!$F$18,ROUNDUP(Q20/Допущения!$F$68+P20/Допущения!$F$69,0))</f>
        <v>46</v>
      </c>
      <c r="S20" s="17" t="n">
        <f aca="false">ROUNDUP(R20/Допущения!$F$48,0)</f>
        <v>5</v>
      </c>
      <c r="T20" s="17" t="n">
        <f aca="false">L20*F20/(1+Допущения!$F$6)</f>
        <v>5886798.64557158</v>
      </c>
      <c r="U20" s="17" t="n">
        <f aca="false">N20*Допущения!$F$28*E20/(1+Допущения!$F$6)</f>
        <v>588539.925964228</v>
      </c>
      <c r="V20" s="17" t="n">
        <f aca="false">O20*Допущения!$F$26*Допущения!$F$27/(1+Допущения!$F$6)</f>
        <v>389699.290666336</v>
      </c>
      <c r="W20" s="17" t="n">
        <f aca="false">T20+U20+V20</f>
        <v>6865037.86220214</v>
      </c>
      <c r="X20" s="17" t="n">
        <f aca="false">J20*Допущения!$F$37</f>
        <v>20000</v>
      </c>
      <c r="Y20" s="17" t="n">
        <f aca="false">(R20*Допущения!$F$47+S20*Допущения!$F$49)*D20*Допущения!$F$9</f>
        <v>6412089.6</v>
      </c>
      <c r="Z20" s="17" t="n">
        <f aca="false">(MAX(0,R20-R19)+R20*Допущения!$F$50/12)*Допущения!$F$51*D20</f>
        <v>347355</v>
      </c>
      <c r="AA20" s="17" t="n">
        <f aca="false">O20*(Допущения!$F$53+Допущения!$F$54)+(L20*F20+N20*Допущения!$F$28*E20)*Допущения!$F$13</f>
        <v>1552650.06771595</v>
      </c>
      <c r="AB20" s="17" t="n">
        <f aca="false">(R20+S20)*Допущения!$F$52</f>
        <v>137700</v>
      </c>
      <c r="AC20" s="17" t="n">
        <f aca="false">SUMPRODUCT(Допущения!$B$84:$B$91,Допущения!$C$84:$C$91,--(Допущения!$D$84:$D$91&lt;=A20))*D20*Допущения!$F$9</f>
        <v>2123301.6</v>
      </c>
      <c r="AD20" s="17" t="n">
        <f aca="false">(AC20+Y20)*Допущения!$F$14</f>
        <v>853539.12</v>
      </c>
      <c r="AE20" s="17" t="n">
        <f aca="false">Допущения!$F$55+Допущения!$F$56*O20/1000+Допущения!$F$57</f>
        <v>165356.433846023</v>
      </c>
      <c r="AF20" s="17" t="n">
        <f aca="false">SUMIF(Допущения!$B$95:$B$103,A20,Допущения!$C$95:$C$103)</f>
        <v>0</v>
      </c>
      <c r="AG20" s="17" t="n">
        <v>0</v>
      </c>
      <c r="AH20" s="17" t="n">
        <f aca="false">G20+SUM(X20:AG20)</f>
        <v>12544647.4203838</v>
      </c>
      <c r="AI20" s="17" t="n">
        <f aca="false">W20-AH20</f>
        <v>-5679609.55818168</v>
      </c>
      <c r="AJ20" s="17" t="n">
        <f aca="false">AJ19+AI20</f>
        <v>-59833030.4165736</v>
      </c>
      <c r="AK20" s="17" t="n">
        <f aca="false">O20*Допущения!$F$58*Допущения!$F$59</f>
        <v>104595.289614845</v>
      </c>
      <c r="AL20" s="17" t="n">
        <f aca="false">T20*Допущения!$F$72</f>
        <v>296813.377087643</v>
      </c>
      <c r="AM20" s="17" t="n">
        <f aca="false">IF(MOD(A20,12)=0,INDEX($F$70:$F$74,B20),0)</f>
        <v>0</v>
      </c>
      <c r="AN20" s="17" t="n">
        <f aca="false">AI20-AM20</f>
        <v>-5679609.55818168</v>
      </c>
      <c r="AO20" s="26" t="n">
        <f aca="false">1/(1+Допущения!$F$74)^A20</f>
        <v>0.77992027705077</v>
      </c>
      <c r="AP20" s="21" t="str">
        <f aca="false">IF(AND(A20&gt;Допущения!$F$19,MIN(AI20:AI$65)&gt;0),A20,"")</f>
        <v/>
      </c>
      <c r="AQ20" s="21" t="str">
        <f aca="false">IF(MIN(AJ20:AJ$65)&gt;0,A20,"")</f>
        <v/>
      </c>
    </row>
    <row r="21" customFormat="false" ht="15" hidden="false" customHeight="false" outlineLevel="0" collapsed="false">
      <c r="A21" s="28" t="n">
        <v>16</v>
      </c>
      <c r="B21" s="28" t="n">
        <f aca="false">INT((A21-1)/12)+1</f>
        <v>2</v>
      </c>
      <c r="C21" s="12" t="s">
        <v>462</v>
      </c>
      <c r="D21" s="15" t="n">
        <f aca="false">(1+Допущения!$F$11)^(B21-1)</f>
        <v>1.08</v>
      </c>
      <c r="E21" s="15" t="n">
        <f aca="false">(1+Допущения!$F$12)^(B21-1)</f>
        <v>1.07</v>
      </c>
      <c r="F21" s="17" t="n">
        <f aca="false">Допущения!$F$71*E21</f>
        <v>2638.2776</v>
      </c>
      <c r="G21" s="17" t="n">
        <f aca="false">MIN(G20*(1+Допущения!$F$33),Допущения!$F$34)</f>
        <v>1007268.04672759</v>
      </c>
      <c r="H21" s="25" t="n">
        <f aca="false">MIN(Допущения!$F$30,G21/Допущения!$F$29)</f>
        <v>300</v>
      </c>
      <c r="I21" s="25" t="n">
        <f aca="false">MAX(0,G21-H21*Допущения!$F$29)/Допущения!$F$31</f>
        <v>92.878007787932</v>
      </c>
      <c r="J21" s="25" t="n">
        <f aca="false">IF(A21&gt;=Допущения!$F$35,Допущения!$F$36,0)</f>
        <v>40</v>
      </c>
      <c r="K21" s="25" t="n">
        <f aca="false">H21+I21+J21</f>
        <v>432.878007787932</v>
      </c>
      <c r="L21" s="25" t="n">
        <f aca="false">(L20-K20)*(1-Допущения!$F$44)+K20*(1-Допущения!$F$43)+K21</f>
        <v>2911.85302961407</v>
      </c>
      <c r="M21" s="25" t="n">
        <f aca="false">IF(A21&gt;=Допущения!$F$38,Допущения!$F$73/Допущения!$F$42*MIN(Допущения!$F$42,A21-Допущения!$F$38+1),0)</f>
        <v>60</v>
      </c>
      <c r="N21" s="25" t="n">
        <f aca="false">N20*(1-Допущения!$F$45)+M21</f>
        <v>498.416408400518</v>
      </c>
      <c r="O21" s="25" t="n">
        <f aca="false">L21+N21</f>
        <v>3410.26943801459</v>
      </c>
      <c r="P21" s="25" t="n">
        <f aca="false">L21*Допущения!$F$25</f>
        <v>873.555908884222</v>
      </c>
      <c r="Q21" s="25" t="n">
        <f aca="false">L21*(1-Допущения!$F$25)+N21</f>
        <v>2536.71352913037</v>
      </c>
      <c r="R21" s="17" t="n">
        <f aca="false">MAX(Допущения!$F$18,ROUNDUP(Q21/Допущения!$F$68+P21/Допущения!$F$69,0))</f>
        <v>50</v>
      </c>
      <c r="S21" s="17" t="n">
        <f aca="false">ROUNDUP(R21/Допущения!$F$48,0)</f>
        <v>5</v>
      </c>
      <c r="T21" s="17" t="n">
        <f aca="false">L21*F21/(1+Допущения!$F$6)</f>
        <v>6296948.05124832</v>
      </c>
      <c r="U21" s="17" t="n">
        <f aca="false">N21*Допущения!$F$28*E21/(1+Допущения!$F$6)</f>
        <v>655703.553674451</v>
      </c>
      <c r="V21" s="17" t="n">
        <f aca="false">O21*Допущения!$F$26*Допущения!$F$27/(1+Допущения!$F$6)</f>
        <v>419295.422706712</v>
      </c>
      <c r="W21" s="17" t="n">
        <f aca="false">T21+U21+V21</f>
        <v>7371947.02762948</v>
      </c>
      <c r="X21" s="17" t="n">
        <f aca="false">J21*Допущения!$F$37</f>
        <v>20000</v>
      </c>
      <c r="Y21" s="17" t="n">
        <f aca="false">(R21*Допущения!$F$47+S21*Допущения!$F$49)*D21*Допущения!$F$9</f>
        <v>6890184</v>
      </c>
      <c r="Z21" s="17" t="n">
        <f aca="false">(MAX(0,R21-R20)+R21*Допущения!$F$50/12)*Допущения!$F$51*D21</f>
        <v>439425</v>
      </c>
      <c r="AA21" s="17" t="n">
        <f aca="false">O21*(Допущения!$F$53+Допущения!$F$54)+(L21*F21+N21*Допущения!$F$28*E21)*Допущения!$F$13</f>
        <v>1670250.1291606</v>
      </c>
      <c r="AB21" s="17" t="n">
        <f aca="false">(R21+S21)*Допущения!$F$52</f>
        <v>148500</v>
      </c>
      <c r="AC21" s="17" t="n">
        <f aca="false">SUMPRODUCT(Допущения!$B$84:$B$91,Допущения!$C$84:$C$91,--(Допущения!$D$84:$D$91&lt;=A21))*D21*Допущения!$F$9</f>
        <v>2123301.6</v>
      </c>
      <c r="AD21" s="17" t="n">
        <f aca="false">(AC21+Y21)*Допущения!$F$14</f>
        <v>901348.56</v>
      </c>
      <c r="AE21" s="17" t="n">
        <f aca="false">Допущения!$F$55+Допущения!$F$56*O21/1000+Допущения!$F$57</f>
        <v>167282.155504117</v>
      </c>
      <c r="AF21" s="17" t="n">
        <f aca="false">SUMIF(Допущения!$B$95:$B$103,A21,Допущения!$C$95:$C$103)</f>
        <v>0</v>
      </c>
      <c r="AG21" s="17" t="n">
        <v>0</v>
      </c>
      <c r="AH21" s="17" t="n">
        <f aca="false">G21+SUM(X21:AG21)</f>
        <v>13367559.4913923</v>
      </c>
      <c r="AI21" s="17" t="n">
        <f aca="false">W21-AH21</f>
        <v>-5995612.46376283</v>
      </c>
      <c r="AJ21" s="17" t="n">
        <f aca="false">AJ20+AI21</f>
        <v>-65828642.8803365</v>
      </c>
      <c r="AK21" s="17" t="n">
        <f aca="false">O21*Допущения!$F$58*Допущения!$F$59</f>
        <v>112538.891454481</v>
      </c>
      <c r="AL21" s="17" t="n">
        <f aca="false">T21*Допущения!$F$72</f>
        <v>317493.179054537</v>
      </c>
      <c r="AM21" s="17" t="n">
        <f aca="false">IF(MOD(A21,12)=0,INDEX($F$70:$F$74,B21),0)</f>
        <v>0</v>
      </c>
      <c r="AN21" s="17" t="n">
        <f aca="false">AI21-AM21</f>
        <v>-5995612.46376283</v>
      </c>
      <c r="AO21" s="26" t="n">
        <f aca="false">1/(1+Допущения!$F$74)^A21</f>
        <v>0.767102784340253</v>
      </c>
      <c r="AP21" s="21" t="str">
        <f aca="false">IF(AND(A21&gt;Допущения!$F$19,MIN(AI21:AI$65)&gt;0),A21,"")</f>
        <v/>
      </c>
      <c r="AQ21" s="21" t="str">
        <f aca="false">IF(MIN(AJ21:AJ$65)&gt;0,A21,"")</f>
        <v/>
      </c>
    </row>
    <row r="22" customFormat="false" ht="15" hidden="false" customHeight="false" outlineLevel="0" collapsed="false">
      <c r="A22" s="28" t="n">
        <v>17</v>
      </c>
      <c r="B22" s="28" t="n">
        <f aca="false">INT((A22-1)/12)+1</f>
        <v>2</v>
      </c>
      <c r="C22" s="12" t="s">
        <v>462</v>
      </c>
      <c r="D22" s="15" t="n">
        <f aca="false">(1+Допущения!$F$11)^(B22-1)</f>
        <v>1.08</v>
      </c>
      <c r="E22" s="15" t="n">
        <f aca="false">(1+Допущения!$F$12)^(B22-1)</f>
        <v>1.07</v>
      </c>
      <c r="F22" s="17" t="n">
        <f aca="false">Допущения!$F$71*E22</f>
        <v>2638.2776</v>
      </c>
      <c r="G22" s="17" t="n">
        <f aca="false">MIN(G21*(1+Допущения!$F$33),Допущения!$F$34)</f>
        <v>1087849.4904658</v>
      </c>
      <c r="H22" s="25" t="n">
        <f aca="false">MIN(Допущения!$F$30,G22/Допущения!$F$29)</f>
        <v>300</v>
      </c>
      <c r="I22" s="25" t="n">
        <f aca="false">MAX(0,G22-H22*Допущения!$F$29)/Допущения!$F$31</f>
        <v>106.308248410967</v>
      </c>
      <c r="J22" s="25" t="n">
        <f aca="false">IF(A22&gt;=Допущения!$F$35,Допущения!$F$36,0)</f>
        <v>40</v>
      </c>
      <c r="K22" s="25" t="n">
        <f aca="false">H22+I22+J22</f>
        <v>446.308248410967</v>
      </c>
      <c r="L22" s="25" t="n">
        <f aca="false">(L21-K21)*(1-Допущения!$F$44)+K21*(1-Допущения!$F$43)+K22</f>
        <v>3101.20327476849</v>
      </c>
      <c r="M22" s="25" t="n">
        <f aca="false">IF(A22&gt;=Допущения!$F$38,Допущения!$F$73/Допущения!$F$42*MIN(Допущения!$F$42,A22-Допущения!$F$38+1),0)</f>
        <v>60</v>
      </c>
      <c r="N22" s="25" t="n">
        <f aca="false">N21*(1-Допущения!$F$45)+M22</f>
        <v>548.448080232507</v>
      </c>
      <c r="O22" s="25" t="n">
        <f aca="false">L22+N22</f>
        <v>3649.651355001</v>
      </c>
      <c r="P22" s="25" t="n">
        <f aca="false">L22*Допущения!$F$25</f>
        <v>930.360982430546</v>
      </c>
      <c r="Q22" s="25" t="n">
        <f aca="false">L22*(1-Допущения!$F$25)+N22</f>
        <v>2719.29037257045</v>
      </c>
      <c r="R22" s="17" t="n">
        <f aca="false">MAX(Допущения!$F$18,ROUNDUP(Q22/Допущения!$F$68+P22/Допущения!$F$69,0))</f>
        <v>53</v>
      </c>
      <c r="S22" s="17" t="n">
        <f aca="false">ROUNDUP(R22/Допущения!$F$48,0)</f>
        <v>6</v>
      </c>
      <c r="T22" s="17" t="n">
        <f aca="false">L22*F22/(1+Допущения!$F$6)</f>
        <v>6706422.24005602</v>
      </c>
      <c r="U22" s="17" t="n">
        <f aca="false">N22*Допущения!$F$28*E22/(1+Допущения!$F$6)</f>
        <v>721523.908830471</v>
      </c>
      <c r="V22" s="17" t="n">
        <f aca="false">O22*Допущения!$F$26*Допущения!$F$27/(1+Допущения!$F$6)</f>
        <v>448727.625614876</v>
      </c>
      <c r="W22" s="17" t="n">
        <f aca="false">T22+U22+V22</f>
        <v>7876673.77450137</v>
      </c>
      <c r="X22" s="17" t="n">
        <f aca="false">J22*Допущения!$F$37</f>
        <v>20000</v>
      </c>
      <c r="Y22" s="17" t="n">
        <f aca="false">(R22*Допущения!$F$47+S22*Допущения!$F$49)*D22*Допущения!$F$9</f>
        <v>7431555.6</v>
      </c>
      <c r="Z22" s="17" t="n">
        <f aca="false">(MAX(0,R22-R21)+R22*Допущения!$F$50/12)*Допущения!$F$51*D22</f>
        <v>362002.5</v>
      </c>
      <c r="AA22" s="17" t="n">
        <f aca="false">O22*(Допущения!$F$53+Допущения!$F$54)+(L22*F22+N22*Допущения!$F$28*E22)*Допущения!$F$13</f>
        <v>1787212.55040499</v>
      </c>
      <c r="AB22" s="17" t="n">
        <f aca="false">(R22+S22)*Допущения!$F$52</f>
        <v>159300</v>
      </c>
      <c r="AC22" s="17" t="n">
        <f aca="false">SUMPRODUCT(Допущения!$B$84:$B$91,Допущения!$C$84:$C$91,--(Допущения!$D$84:$D$91&lt;=A22))*D22*Допущения!$F$9</f>
        <v>2123301.6</v>
      </c>
      <c r="AD22" s="17" t="n">
        <f aca="false">(AC22+Y22)*Допущения!$F$14</f>
        <v>955485.72</v>
      </c>
      <c r="AE22" s="17" t="n">
        <f aca="false">Допущения!$F$55+Допущения!$F$56*O22/1000+Допущения!$F$57</f>
        <v>169197.210840008</v>
      </c>
      <c r="AF22" s="17" t="n">
        <f aca="false">SUMIF(Допущения!$B$95:$B$103,A22,Допущения!$C$95:$C$103)</f>
        <v>0</v>
      </c>
      <c r="AG22" s="17" t="n">
        <v>0</v>
      </c>
      <c r="AH22" s="17" t="n">
        <f aca="false">G22+SUM(X22:AG22)</f>
        <v>14095904.6717108</v>
      </c>
      <c r="AI22" s="17" t="n">
        <f aca="false">W22-AH22</f>
        <v>-6219230.89720943</v>
      </c>
      <c r="AJ22" s="17" t="n">
        <f aca="false">AJ21+AI22</f>
        <v>-72047873.7775459</v>
      </c>
      <c r="AK22" s="17" t="n">
        <f aca="false">O22*Допущения!$F$58*Допущения!$F$59</f>
        <v>120438.494715033</v>
      </c>
      <c r="AL22" s="17" t="n">
        <f aca="false">T22*Допущения!$F$72</f>
        <v>338138.936473413</v>
      </c>
      <c r="AM22" s="17" t="n">
        <f aca="false">IF(MOD(A22,12)=0,INDEX($F$70:$F$74,B22),0)</f>
        <v>0</v>
      </c>
      <c r="AN22" s="17" t="n">
        <f aca="false">AI22-AM22</f>
        <v>-6219230.89720943</v>
      </c>
      <c r="AO22" s="26" t="n">
        <f aca="false">1/(1+Допущения!$F$74)^A22</f>
        <v>0.754495938953851</v>
      </c>
      <c r="AP22" s="21" t="str">
        <f aca="false">IF(AND(A22&gt;Допущения!$F$19,MIN(AI22:AI$65)&gt;0),A22,"")</f>
        <v/>
      </c>
      <c r="AQ22" s="21" t="str">
        <f aca="false">IF(MIN(AJ22:AJ$65)&gt;0,A22,"")</f>
        <v/>
      </c>
    </row>
    <row r="23" customFormat="false" ht="15" hidden="false" customHeight="false" outlineLevel="0" collapsed="false">
      <c r="A23" s="28" t="n">
        <v>18</v>
      </c>
      <c r="B23" s="28" t="n">
        <f aca="false">INT((A23-1)/12)+1</f>
        <v>2</v>
      </c>
      <c r="C23" s="12" t="s">
        <v>462</v>
      </c>
      <c r="D23" s="15" t="n">
        <f aca="false">(1+Допущения!$F$11)^(B23-1)</f>
        <v>1.08</v>
      </c>
      <c r="E23" s="15" t="n">
        <f aca="false">(1+Допущения!$F$12)^(B23-1)</f>
        <v>1.07</v>
      </c>
      <c r="F23" s="17" t="n">
        <f aca="false">Допущения!$F$71*E23</f>
        <v>2638.2776</v>
      </c>
      <c r="G23" s="17" t="n">
        <f aca="false">MIN(G22*(1+Допущения!$F$33),Допущения!$F$34)</f>
        <v>1174877.44970306</v>
      </c>
      <c r="H23" s="25" t="n">
        <f aca="false">MIN(Допущения!$F$30,G23/Допущения!$F$29)</f>
        <v>300</v>
      </c>
      <c r="I23" s="25" t="n">
        <f aca="false">MAX(0,G23-H23*Допущения!$F$29)/Допущения!$F$31</f>
        <v>120.812908283844</v>
      </c>
      <c r="J23" s="25" t="n">
        <f aca="false">IF(A23&gt;=Допущения!$F$35,Допущения!$F$36,0)</f>
        <v>40</v>
      </c>
      <c r="K23" s="25" t="n">
        <f aca="false">H23+I23+J23</f>
        <v>460.812908283844</v>
      </c>
      <c r="L23" s="25" t="n">
        <f aca="false">(L22-K22)*(1-Допущения!$F$44)+K22*(1-Допущения!$F$43)+K23</f>
        <v>3291.14541936814</v>
      </c>
      <c r="M23" s="25" t="n">
        <f aca="false">IF(A23&gt;=Допущения!$F$38,Допущения!$F$73/Допущения!$F$42*MIN(Допущения!$F$42,A23-Допущения!$F$38+1),0)</f>
        <v>60</v>
      </c>
      <c r="N23" s="25" t="n">
        <f aca="false">N22*(1-Допущения!$F$45)+M23</f>
        <v>597.479118627857</v>
      </c>
      <c r="O23" s="25" t="n">
        <f aca="false">L23+N23</f>
        <v>3888.624537996</v>
      </c>
      <c r="P23" s="25" t="n">
        <f aca="false">L23*Допущения!$F$25</f>
        <v>987.343625810442</v>
      </c>
      <c r="Q23" s="25" t="n">
        <f aca="false">L23*(1-Допущения!$F$25)+N23</f>
        <v>2901.28091218555</v>
      </c>
      <c r="R23" s="17" t="n">
        <f aca="false">MAX(Допущения!$F$18,ROUNDUP(Q23/Допущения!$F$68+P23/Допущения!$F$69,0))</f>
        <v>57</v>
      </c>
      <c r="S23" s="17" t="n">
        <f aca="false">ROUNDUP(R23/Допущения!$F$48,0)</f>
        <v>6</v>
      </c>
      <c r="T23" s="17" t="n">
        <f aca="false">L23*F23/(1+Допущения!$F$6)</f>
        <v>7117176.42480456</v>
      </c>
      <c r="U23" s="17" t="n">
        <f aca="false">N23*Допущения!$F$28*E23/(1+Допущения!$F$6)</f>
        <v>786027.856883369</v>
      </c>
      <c r="V23" s="17" t="n">
        <f aca="false">O23*Допущения!$F$26*Допущения!$F$27/(1+Допущения!$F$6)</f>
        <v>478109.57434377</v>
      </c>
      <c r="W23" s="17" t="n">
        <f aca="false">T23+U23+V23</f>
        <v>8381313.8560317</v>
      </c>
      <c r="X23" s="17" t="n">
        <f aca="false">J23*Допущения!$F$37</f>
        <v>20000</v>
      </c>
      <c r="Y23" s="17" t="n">
        <f aca="false">(R23*Допущения!$F$47+S23*Допущения!$F$49)*D23*Допущения!$F$9</f>
        <v>7909650</v>
      </c>
      <c r="Z23" s="17" t="n">
        <f aca="false">(MAX(0,R23-R22)+R23*Допущения!$F$50/12)*Допущения!$F$51*D23</f>
        <v>454072.5</v>
      </c>
      <c r="AA23" s="17" t="n">
        <f aca="false">O23*(Допущения!$F$53+Допущения!$F$54)+(L23*F23+N23*Допущения!$F$28*E23)*Допущения!$F$13</f>
        <v>1903992.28543409</v>
      </c>
      <c r="AB23" s="17" t="n">
        <f aca="false">(R23+S23)*Допущения!$F$52</f>
        <v>170100</v>
      </c>
      <c r="AC23" s="17" t="n">
        <f aca="false">SUMPRODUCT(Допущения!$B$84:$B$91,Допущения!$C$84:$C$91,--(Допущения!$D$84:$D$91&lt;=A23))*D23*Допущения!$F$9</f>
        <v>2123301.6</v>
      </c>
      <c r="AD23" s="17" t="n">
        <f aca="false">(AC23+Y23)*Допущения!$F$14</f>
        <v>1003295.16</v>
      </c>
      <c r="AE23" s="17" t="n">
        <f aca="false">Допущения!$F$55+Допущения!$F$56*O23/1000+Допущения!$F$57</f>
        <v>171108.996303968</v>
      </c>
      <c r="AF23" s="17" t="n">
        <f aca="false">SUMIF(Допущения!$B$95:$B$103,A23,Допущения!$C$95:$C$103)</f>
        <v>0</v>
      </c>
      <c r="AG23" s="17" t="n">
        <v>0</v>
      </c>
      <c r="AH23" s="17" t="n">
        <f aca="false">G23+SUM(X23:AG23)</f>
        <v>14930397.9914411</v>
      </c>
      <c r="AI23" s="17" t="n">
        <f aca="false">W23-AH23</f>
        <v>-6549084.13540942</v>
      </c>
      <c r="AJ23" s="17" t="n">
        <f aca="false">AJ22+AI23</f>
        <v>-78596957.9129553</v>
      </c>
      <c r="AK23" s="17" t="n">
        <f aca="false">O23*Допущения!$F$58*Допущения!$F$59</f>
        <v>128324.609753868</v>
      </c>
      <c r="AL23" s="17" t="n">
        <f aca="false">T23*Допущения!$F$72</f>
        <v>358849.231502751</v>
      </c>
      <c r="AM23" s="17" t="n">
        <f aca="false">IF(MOD(A23,12)=0,INDEX($F$70:$F$74,B23),0)</f>
        <v>0</v>
      </c>
      <c r="AN23" s="17" t="n">
        <f aca="false">AI23-AM23</f>
        <v>-6549084.13540942</v>
      </c>
      <c r="AO23" s="26" t="n">
        <f aca="false">1/(1+Допущения!$F$74)^A23</f>
        <v>0.742096279037039</v>
      </c>
      <c r="AP23" s="21" t="str">
        <f aca="false">IF(AND(A23&gt;Допущения!$F$19,MIN(AI23:AI$65)&gt;0),A23,"")</f>
        <v/>
      </c>
      <c r="AQ23" s="21" t="str">
        <f aca="false">IF(MIN(AJ23:AJ$65)&gt;0,A23,"")</f>
        <v/>
      </c>
    </row>
    <row r="24" customFormat="false" ht="15" hidden="false" customHeight="false" outlineLevel="0" collapsed="false">
      <c r="A24" s="28" t="n">
        <v>19</v>
      </c>
      <c r="B24" s="28" t="n">
        <f aca="false">INT((A24-1)/12)+1</f>
        <v>2</v>
      </c>
      <c r="C24" s="12" t="s">
        <v>462</v>
      </c>
      <c r="D24" s="15" t="n">
        <f aca="false">(1+Допущения!$F$11)^(B24-1)</f>
        <v>1.08</v>
      </c>
      <c r="E24" s="15" t="n">
        <f aca="false">(1+Допущения!$F$12)^(B24-1)</f>
        <v>1.07</v>
      </c>
      <c r="F24" s="17" t="n">
        <f aca="false">Допущения!$F$71*E24</f>
        <v>2638.2776</v>
      </c>
      <c r="G24" s="17" t="n">
        <f aca="false">MIN(G23*(1+Допущения!$F$33),Допущения!$F$34)</f>
        <v>1268867.64567931</v>
      </c>
      <c r="H24" s="25" t="n">
        <f aca="false">MIN(Допущения!$F$30,G24/Допущения!$F$29)</f>
        <v>300</v>
      </c>
      <c r="I24" s="25" t="n">
        <f aca="false">MAX(0,G24-H24*Допущения!$F$29)/Допущения!$F$31</f>
        <v>136.477940946551</v>
      </c>
      <c r="J24" s="25" t="n">
        <f aca="false">IF(A24&gt;=Допущения!$F$35,Допущения!$F$36,0)</f>
        <v>40</v>
      </c>
      <c r="K24" s="25" t="n">
        <f aca="false">H24+I24+J24</f>
        <v>476.477940946551</v>
      </c>
      <c r="L24" s="25" t="n">
        <f aca="false">(L23-K23)*(1-Допущения!$F$44)+K23*(1-Допущения!$F$43)+K24</f>
        <v>3482.60018257867</v>
      </c>
      <c r="M24" s="25" t="n">
        <f aca="false">IF(A24&gt;=Допущения!$F$38,Допущения!$F$73/Допущения!$F$42*MIN(Допущения!$F$42,A24-Допущения!$F$38+1),0)</f>
        <v>60</v>
      </c>
      <c r="N24" s="25" t="n">
        <f aca="false">N23*(1-Допущения!$F$45)+M24</f>
        <v>645.5295362553</v>
      </c>
      <c r="O24" s="25" t="n">
        <f aca="false">L24+N24</f>
        <v>4128.12971883397</v>
      </c>
      <c r="P24" s="25" t="n">
        <f aca="false">L24*Допущения!$F$25</f>
        <v>1044.7800547736</v>
      </c>
      <c r="Q24" s="25" t="n">
        <f aca="false">L24*(1-Допущения!$F$25)+N24</f>
        <v>3083.34966406037</v>
      </c>
      <c r="R24" s="17" t="n">
        <f aca="false">MAX(Допущения!$F$18,ROUNDUP(Q24/Допущения!$F$68+P24/Допущения!$F$69,0))</f>
        <v>60</v>
      </c>
      <c r="S24" s="17" t="n">
        <f aca="false">ROUNDUP(R24/Допущения!$F$48,0)</f>
        <v>6</v>
      </c>
      <c r="T24" s="17" t="n">
        <f aca="false">L24*F24/(1+Допущения!$F$6)</f>
        <v>7531201.68151903</v>
      </c>
      <c r="U24" s="17" t="n">
        <f aca="false">N24*Допущения!$F$28*E24/(1+Допущения!$F$6)</f>
        <v>849241.72597521</v>
      </c>
      <c r="V24" s="17" t="n">
        <f aca="false">O24*Допущения!$F$26*Допущения!$F$27/(1+Допущения!$F$6)</f>
        <v>507556.932643521</v>
      </c>
      <c r="W24" s="17" t="n">
        <f aca="false">T24+U24+V24</f>
        <v>8888000.34013776</v>
      </c>
      <c r="X24" s="17" t="n">
        <f aca="false">J24*Допущения!$F$37</f>
        <v>20000</v>
      </c>
      <c r="Y24" s="17" t="n">
        <f aca="false">(R24*Допущения!$F$47+S24*Допущения!$F$49)*D24*Допущения!$F$9</f>
        <v>8268220.8</v>
      </c>
      <c r="Z24" s="17" t="n">
        <f aca="false">(MAX(0,R24-R23)+R24*Допущения!$F$50/12)*Допущения!$F$51*D24</f>
        <v>376650</v>
      </c>
      <c r="AA24" s="17" t="n">
        <f aca="false">O24*(Допущения!$F$53+Допущения!$F$54)+(L24*F24+N24*Допущения!$F$28*E24)*Допущения!$F$13</f>
        <v>2021052.26210969</v>
      </c>
      <c r="AB24" s="17" t="n">
        <f aca="false">(R24+S24)*Допущения!$F$52</f>
        <v>178200</v>
      </c>
      <c r="AC24" s="17" t="n">
        <f aca="false">SUMPRODUCT(Допущения!$B$84:$B$91,Допущения!$C$84:$C$91,--(Допущения!$D$84:$D$91&lt;=A24))*D24*Допущения!$F$9</f>
        <v>2123301.6</v>
      </c>
      <c r="AD24" s="17" t="n">
        <f aca="false">(AC24+Y24)*Допущения!$F$14</f>
        <v>1039152.24</v>
      </c>
      <c r="AE24" s="17" t="n">
        <f aca="false">Допущения!$F$55+Допущения!$F$56*O24/1000+Допущения!$F$57</f>
        <v>173025.037750672</v>
      </c>
      <c r="AF24" s="17" t="n">
        <f aca="false">SUMIF(Допущения!$B$95:$B$103,A24,Допущения!$C$95:$C$103)</f>
        <v>0</v>
      </c>
      <c r="AG24" s="17" t="n">
        <v>0</v>
      </c>
      <c r="AH24" s="17" t="n">
        <f aca="false">G24+SUM(X24:AG24)</f>
        <v>15468469.5855397</v>
      </c>
      <c r="AI24" s="17" t="n">
        <f aca="false">W24-AH24</f>
        <v>-6580469.24540191</v>
      </c>
      <c r="AJ24" s="17" t="n">
        <f aca="false">AJ23+AI24</f>
        <v>-85177427.1583572</v>
      </c>
      <c r="AK24" s="17" t="n">
        <f aca="false">O24*Допущения!$F$58*Допущения!$F$59</f>
        <v>136228.280721521</v>
      </c>
      <c r="AL24" s="17" t="n">
        <f aca="false">T24*Допущения!$F$72</f>
        <v>379724.454530371</v>
      </c>
      <c r="AM24" s="17" t="n">
        <f aca="false">IF(MOD(A24,12)=0,INDEX($F$70:$F$74,B24),0)</f>
        <v>0</v>
      </c>
      <c r="AN24" s="17" t="n">
        <f aca="false">AI24-AM24</f>
        <v>-6580469.24540191</v>
      </c>
      <c r="AO24" s="26" t="n">
        <f aca="false">1/(1+Допущения!$F$74)^A24</f>
        <v>0.729900399628662</v>
      </c>
      <c r="AP24" s="21" t="str">
        <f aca="false">IF(AND(A24&gt;Допущения!$F$19,MIN(AI24:AI$65)&gt;0),A24,"")</f>
        <v/>
      </c>
      <c r="AQ24" s="21" t="str">
        <f aca="false">IF(MIN(AJ24:AJ$65)&gt;0,A24,"")</f>
        <v/>
      </c>
    </row>
    <row r="25" customFormat="false" ht="15" hidden="false" customHeight="false" outlineLevel="0" collapsed="false">
      <c r="A25" s="28" t="n">
        <v>20</v>
      </c>
      <c r="B25" s="28" t="n">
        <f aca="false">INT((A25-1)/12)+1</f>
        <v>2</v>
      </c>
      <c r="C25" s="12" t="s">
        <v>462</v>
      </c>
      <c r="D25" s="15" t="n">
        <f aca="false">(1+Допущения!$F$11)^(B25-1)</f>
        <v>1.08</v>
      </c>
      <c r="E25" s="15" t="n">
        <f aca="false">(1+Допущения!$F$12)^(B25-1)</f>
        <v>1.07</v>
      </c>
      <c r="F25" s="17" t="n">
        <f aca="false">Допущения!$F$71*E25</f>
        <v>2638.2776</v>
      </c>
      <c r="G25" s="17" t="n">
        <f aca="false">MIN(G24*(1+Допущения!$F$33),Допущения!$F$34)</f>
        <v>1370377.05733365</v>
      </c>
      <c r="H25" s="25" t="n">
        <f aca="false">MIN(Допущения!$F$30,G25/Допущения!$F$29)</f>
        <v>300</v>
      </c>
      <c r="I25" s="25" t="n">
        <f aca="false">MAX(0,G25-H25*Допущения!$F$29)/Допущения!$F$31</f>
        <v>153.396176222276</v>
      </c>
      <c r="J25" s="25" t="n">
        <f aca="false">IF(A25&gt;=Допущения!$F$35,Допущения!$F$36,0)</f>
        <v>40</v>
      </c>
      <c r="K25" s="25" t="n">
        <f aca="false">H25+I25+J25</f>
        <v>493.396176222276</v>
      </c>
      <c r="L25" s="25" t="n">
        <f aca="false">(L24-K24)*(1-Допущения!$F$44)+K24*(1-Допущения!$F$43)+K25</f>
        <v>3676.50953906638</v>
      </c>
      <c r="M25" s="25" t="n">
        <f aca="false">IF(A25&gt;=Допущения!$F$38,Допущения!$F$73/Допущения!$F$42*MIN(Допущения!$F$42,A25-Допущения!$F$38+1),0)</f>
        <v>60</v>
      </c>
      <c r="N25" s="25" t="n">
        <f aca="false">N24*(1-Допущения!$F$45)+M25</f>
        <v>692.618945530194</v>
      </c>
      <c r="O25" s="25" t="n">
        <f aca="false">L25+N25</f>
        <v>4369.12848459658</v>
      </c>
      <c r="P25" s="25" t="n">
        <f aca="false">L25*Допущения!$F$25</f>
        <v>1102.95286171991</v>
      </c>
      <c r="Q25" s="25" t="n">
        <f aca="false">L25*(1-Допущения!$F$25)+N25</f>
        <v>3266.17562287666</v>
      </c>
      <c r="R25" s="17" t="n">
        <f aca="false">MAX(Допущения!$F$18,ROUNDUP(Q25/Допущения!$F$68+P25/Допущения!$F$69,0))</f>
        <v>64</v>
      </c>
      <c r="S25" s="17" t="n">
        <f aca="false">ROUNDUP(R25/Допущения!$F$48,0)</f>
        <v>7</v>
      </c>
      <c r="T25" s="17" t="n">
        <f aca="false">L25*F25/(1+Допущения!$F$6)</f>
        <v>7950535.05172554</v>
      </c>
      <c r="U25" s="17" t="n">
        <f aca="false">N25*Допущения!$F$28*E25/(1+Допущения!$F$6)</f>
        <v>911191.317685214</v>
      </c>
      <c r="V25" s="17" t="n">
        <f aca="false">O25*Допущения!$F$26*Допущения!$F$27/(1+Допущения!$F$6)</f>
        <v>537187.928434005</v>
      </c>
      <c r="W25" s="17" t="n">
        <f aca="false">T25+U25+V25</f>
        <v>9398914.29784476</v>
      </c>
      <c r="X25" s="17" t="n">
        <f aca="false">J25*Допущения!$F$37</f>
        <v>20000</v>
      </c>
      <c r="Y25" s="17" t="n">
        <f aca="false">(R25*Допущения!$F$47+S25*Допущения!$F$49)*D25*Допущения!$F$9</f>
        <v>8929116</v>
      </c>
      <c r="Z25" s="17" t="n">
        <f aca="false">(MAX(0,R25-R24)+R25*Допущения!$F$50/12)*Допущения!$F$51*D25</f>
        <v>468720</v>
      </c>
      <c r="AA25" s="17" t="n">
        <f aca="false">O25*(Допущения!$F$53+Допущения!$F$54)+(L25*F25+N25*Допущения!$F$28*E25)*Допущения!$F$13</f>
        <v>2138865.68671774</v>
      </c>
      <c r="AB25" s="17" t="n">
        <f aca="false">(R25+S25)*Допущения!$F$52</f>
        <v>191700</v>
      </c>
      <c r="AC25" s="17" t="n">
        <f aca="false">SUMPRODUCT(Допущения!$B$84:$B$91,Допущения!$C$84:$C$91,--(Допущения!$D$84:$D$91&lt;=A25))*D25*Допущения!$F$9</f>
        <v>2123301.6</v>
      </c>
      <c r="AD25" s="17" t="n">
        <f aca="false">(AC25+Y25)*Допущения!$F$14</f>
        <v>1105241.76</v>
      </c>
      <c r="AE25" s="17" t="n">
        <f aca="false">Допущения!$F$55+Допущения!$F$56*O25/1000+Допущения!$F$57</f>
        <v>174953.027876773</v>
      </c>
      <c r="AF25" s="17" t="n">
        <f aca="false">SUMIF(Допущения!$B$95:$B$103,A25,Допущения!$C$95:$C$103)</f>
        <v>0</v>
      </c>
      <c r="AG25" s="17" t="n">
        <v>0</v>
      </c>
      <c r="AH25" s="17" t="n">
        <f aca="false">G25+SUM(X25:AG25)</f>
        <v>16522275.1319282</v>
      </c>
      <c r="AI25" s="17" t="n">
        <f aca="false">W25-AH25</f>
        <v>-7123360.8340834</v>
      </c>
      <c r="AJ25" s="17" t="n">
        <f aca="false">AJ24+AI25</f>
        <v>-92300787.9924406</v>
      </c>
      <c r="AK25" s="17" t="n">
        <f aca="false">O25*Допущения!$F$58*Допущения!$F$59</f>
        <v>144181.239991687</v>
      </c>
      <c r="AL25" s="17" t="n">
        <f aca="false">T25*Допущения!$F$72</f>
        <v>400867.31353238</v>
      </c>
      <c r="AM25" s="17" t="n">
        <f aca="false">IF(MOD(A25,12)=0,INDEX($F$70:$F$74,B25),0)</f>
        <v>0</v>
      </c>
      <c r="AN25" s="17" t="n">
        <f aca="false">AI25-AM25</f>
        <v>-7123360.8340834</v>
      </c>
      <c r="AO25" s="26" t="n">
        <f aca="false">1/(1+Допущения!$F$74)^A25</f>
        <v>0.717904951725933</v>
      </c>
      <c r="AP25" s="21" t="str">
        <f aca="false">IF(AND(A25&gt;Допущения!$F$19,MIN(AI25:AI$65)&gt;0),A25,"")</f>
        <v/>
      </c>
      <c r="AQ25" s="21" t="str">
        <f aca="false">IF(MIN(AJ25:AJ$65)&gt;0,A25,"")</f>
        <v/>
      </c>
    </row>
    <row r="26" customFormat="false" ht="15" hidden="false" customHeight="false" outlineLevel="0" collapsed="false">
      <c r="A26" s="28" t="n">
        <v>21</v>
      </c>
      <c r="B26" s="28" t="n">
        <f aca="false">INT((A26-1)/12)+1</f>
        <v>2</v>
      </c>
      <c r="C26" s="12" t="s">
        <v>462</v>
      </c>
      <c r="D26" s="15" t="n">
        <f aca="false">(1+Допущения!$F$11)^(B26-1)</f>
        <v>1.08</v>
      </c>
      <c r="E26" s="15" t="n">
        <f aca="false">(1+Допущения!$F$12)^(B26-1)</f>
        <v>1.07</v>
      </c>
      <c r="F26" s="17" t="n">
        <f aca="false">Допущения!$F$71*E26</f>
        <v>2638.2776</v>
      </c>
      <c r="G26" s="17" t="n">
        <f aca="false">MIN(G25*(1+Допущения!$F$33),Допущения!$F$34)</f>
        <v>1480007.22192035</v>
      </c>
      <c r="H26" s="25" t="n">
        <f aca="false">MIN(Допущения!$F$30,G26/Допущения!$F$29)</f>
        <v>300</v>
      </c>
      <c r="I26" s="25" t="n">
        <f aca="false">MAX(0,G26-H26*Допущения!$F$29)/Допущения!$F$31</f>
        <v>171.667870320058</v>
      </c>
      <c r="J26" s="25" t="n">
        <f aca="false">IF(A26&gt;=Допущения!$F$35,Допущения!$F$36,0)</f>
        <v>40</v>
      </c>
      <c r="K26" s="25" t="n">
        <f aca="false">H26+I26+J26</f>
        <v>511.667870320058</v>
      </c>
      <c r="L26" s="25" t="n">
        <f aca="false">(L25-K25)*(1-Допущения!$F$44)+K25*(1-Допущения!$F$43)+K26</f>
        <v>3873.84156356022</v>
      </c>
      <c r="M26" s="25" t="n">
        <f aca="false">IF(A26&gt;=Допущения!$F$38,Допущения!$F$73/Допущения!$F$42*MIN(Допущения!$F$42,A26-Допущения!$F$38+1),0)</f>
        <v>60</v>
      </c>
      <c r="N26" s="25" t="n">
        <f aca="false">N25*(1-Допущения!$F$45)+M26</f>
        <v>738.76656661959</v>
      </c>
      <c r="O26" s="25" t="n">
        <f aca="false">L26+N26</f>
        <v>4612.60813017981</v>
      </c>
      <c r="P26" s="25" t="n">
        <f aca="false">L26*Допущения!$F$25</f>
        <v>1162.15246906807</v>
      </c>
      <c r="Q26" s="25" t="n">
        <f aca="false">L26*(1-Допущения!$F$25)+N26</f>
        <v>3450.45566111175</v>
      </c>
      <c r="R26" s="17" t="n">
        <f aca="false">MAX(Допущения!$F$18,ROUNDUP(Q26/Допущения!$F$68+P26/Допущения!$F$69,0))</f>
        <v>67</v>
      </c>
      <c r="S26" s="17" t="n">
        <f aca="false">ROUNDUP(R26/Допущения!$F$48,0)</f>
        <v>7</v>
      </c>
      <c r="T26" s="17" t="n">
        <f aca="false">L26*F26/(1+Допущения!$F$6)</f>
        <v>8377270.01892616</v>
      </c>
      <c r="U26" s="17" t="n">
        <f aca="false">N26*Допущения!$F$28*E26/(1+Допущения!$F$6)</f>
        <v>971901.917561018</v>
      </c>
      <c r="V26" s="17" t="n">
        <f aca="false">O26*Допущения!$F$26*Допущения!$F$27/(1+Допущения!$F$6)</f>
        <v>567123.950431944</v>
      </c>
      <c r="W26" s="17" t="n">
        <f aca="false">T26+U26+V26</f>
        <v>9916295.88691912</v>
      </c>
      <c r="X26" s="17" t="n">
        <f aca="false">J26*Допущения!$F$37</f>
        <v>20000</v>
      </c>
      <c r="Y26" s="17" t="n">
        <f aca="false">(R26*Допущения!$F$47+S26*Допущения!$F$49)*D26*Допущения!$F$9</f>
        <v>9287686.8</v>
      </c>
      <c r="Z26" s="17" t="n">
        <f aca="false">(MAX(0,R26-R25)+R26*Допущения!$F$50/12)*Допущения!$F$51*D26</f>
        <v>391297.5</v>
      </c>
      <c r="AA26" s="17" t="n">
        <f aca="false">O26*(Допущения!$F$53+Допущения!$F$54)+(L26*F26+N26*Допущения!$F$28*E26)*Допущения!$F$13</f>
        <v>2257918.43365528</v>
      </c>
      <c r="AB26" s="17" t="n">
        <f aca="false">(R26+S26)*Допущения!$F$52</f>
        <v>199800</v>
      </c>
      <c r="AC26" s="17" t="n">
        <f aca="false">SUMPRODUCT(Допущения!$B$84:$B$91,Допущения!$C$84:$C$91,--(Допущения!$D$84:$D$91&lt;=A26))*D26*Допущения!$F$9</f>
        <v>2123301.6</v>
      </c>
      <c r="AD26" s="17" t="n">
        <f aca="false">(AC26+Y26)*Допущения!$F$14</f>
        <v>1141098.84</v>
      </c>
      <c r="AE26" s="17" t="n">
        <f aca="false">Допущения!$F$55+Допущения!$F$56*O26/1000+Допущения!$F$57</f>
        <v>176900.865041439</v>
      </c>
      <c r="AF26" s="17" t="n">
        <f aca="false">SUMIF(Допущения!$B$95:$B$103,A26,Допущения!$C$95:$C$103)</f>
        <v>0</v>
      </c>
      <c r="AG26" s="17" t="n">
        <v>0</v>
      </c>
      <c r="AH26" s="17" t="n">
        <f aca="false">G26+SUM(X26:AG26)</f>
        <v>17078011.2606171</v>
      </c>
      <c r="AI26" s="17" t="n">
        <f aca="false">W26-AH26</f>
        <v>-7161715.37369794</v>
      </c>
      <c r="AJ26" s="17" t="n">
        <f aca="false">AJ25+AI26</f>
        <v>-99462503.3661386</v>
      </c>
      <c r="AK26" s="17" t="n">
        <f aca="false">O26*Допущения!$F$58*Допущения!$F$59</f>
        <v>152216.068295934</v>
      </c>
      <c r="AL26" s="17" t="n">
        <f aca="false">T26*Допущения!$F$72</f>
        <v>422383.362298798</v>
      </c>
      <c r="AM26" s="17" t="n">
        <f aca="false">IF(MOD(A26,12)=0,INDEX($F$70:$F$74,B26),0)</f>
        <v>0</v>
      </c>
      <c r="AN26" s="17" t="n">
        <f aca="false">AI26-AM26</f>
        <v>-7161715.37369794</v>
      </c>
      <c r="AO26" s="26" t="n">
        <f aca="false">1/(1+Допущения!$F$74)^A26</f>
        <v>0.706106641364793</v>
      </c>
      <c r="AP26" s="21" t="str">
        <f aca="false">IF(AND(A26&gt;Допущения!$F$19,MIN(AI26:AI$65)&gt;0),A26,"")</f>
        <v/>
      </c>
      <c r="AQ26" s="21" t="str">
        <f aca="false">IF(MIN(AJ26:AJ$65)&gt;0,A26,"")</f>
        <v/>
      </c>
    </row>
    <row r="27" customFormat="false" ht="15" hidden="false" customHeight="false" outlineLevel="0" collapsed="false">
      <c r="A27" s="28" t="n">
        <v>22</v>
      </c>
      <c r="B27" s="28" t="n">
        <f aca="false">INT((A27-1)/12)+1</f>
        <v>2</v>
      </c>
      <c r="C27" s="12" t="s">
        <v>462</v>
      </c>
      <c r="D27" s="15" t="n">
        <f aca="false">(1+Допущения!$F$11)^(B27-1)</f>
        <v>1.08</v>
      </c>
      <c r="E27" s="15" t="n">
        <f aca="false">(1+Допущения!$F$12)^(B27-1)</f>
        <v>1.07</v>
      </c>
      <c r="F27" s="17" t="n">
        <f aca="false">Допущения!$F$71*E27</f>
        <v>2638.2776</v>
      </c>
      <c r="G27" s="17" t="n">
        <f aca="false">MIN(G26*(1+Допущения!$F$33),Допущения!$F$34)</f>
        <v>1598407.79967397</v>
      </c>
      <c r="H27" s="25" t="n">
        <f aca="false">MIN(Допущения!$F$30,G27/Допущения!$F$29)</f>
        <v>300</v>
      </c>
      <c r="I27" s="25" t="n">
        <f aca="false">MAX(0,G27-H27*Допущения!$F$29)/Допущения!$F$31</f>
        <v>191.401299945662</v>
      </c>
      <c r="J27" s="25" t="n">
        <f aca="false">IF(A27&gt;=Допущения!$F$35,Допущения!$F$36,0)</f>
        <v>40</v>
      </c>
      <c r="K27" s="25" t="n">
        <f aca="false">H27+I27+J27</f>
        <v>531.401299945662</v>
      </c>
      <c r="L27" s="25" t="n">
        <f aca="false">(L26-K26)*(1-Допущения!$F$44)+K26*(1-Допущения!$F$43)+K27</f>
        <v>4075.59547433146</v>
      </c>
      <c r="M27" s="25" t="n">
        <f aca="false">IF(A27&gt;=Допущения!$F$38,Допущения!$F$73/Допущения!$F$42*MIN(Допущения!$F$42,A27-Допущения!$F$38+1),0)</f>
        <v>60</v>
      </c>
      <c r="N27" s="25" t="n">
        <f aca="false">N26*(1-Допущения!$F$45)+M27</f>
        <v>783.991235287198</v>
      </c>
      <c r="O27" s="25" t="n">
        <f aca="false">L27+N27</f>
        <v>4859.58670961866</v>
      </c>
      <c r="P27" s="25" t="n">
        <f aca="false">L27*Допущения!$F$25</f>
        <v>1222.67864229944</v>
      </c>
      <c r="Q27" s="25" t="n">
        <f aca="false">L27*(1-Допущения!$F$25)+N27</f>
        <v>3636.90806731922</v>
      </c>
      <c r="R27" s="17" t="n">
        <f aca="false">MAX(Допущения!$F$18,ROUNDUP(Q27/Допущения!$F$68+P27/Допущения!$F$69,0))</f>
        <v>71</v>
      </c>
      <c r="S27" s="17" t="n">
        <f aca="false">ROUNDUP(R27/Допущения!$F$48,0)</f>
        <v>8</v>
      </c>
      <c r="T27" s="17" t="n">
        <f aca="false">L27*F27/(1+Допущения!$F$6)</f>
        <v>8813567.41523776</v>
      </c>
      <c r="U27" s="17" t="n">
        <f aca="false">N27*Допущения!$F$28*E27/(1+Допущения!$F$6)</f>
        <v>1031398.30543931</v>
      </c>
      <c r="V27" s="17" t="n">
        <f aca="false">O27*Допущения!$F$26*Допущения!$F$27/(1+Допущения!$F$6)</f>
        <v>597490.169215409</v>
      </c>
      <c r="W27" s="17" t="n">
        <f aca="false">T27+U27+V27</f>
        <v>10442455.8898925</v>
      </c>
      <c r="X27" s="17" t="n">
        <f aca="false">J27*Допущения!$F$37</f>
        <v>20000</v>
      </c>
      <c r="Y27" s="17" t="n">
        <f aca="false">(R27*Допущения!$F$47+S27*Допущения!$F$49)*D27*Допущения!$F$9</f>
        <v>9948582</v>
      </c>
      <c r="Z27" s="17" t="n">
        <f aca="false">(MAX(0,R27-R26)+R27*Допущения!$F$50/12)*Допущения!$F$51*D27</f>
        <v>483367.5</v>
      </c>
      <c r="AA27" s="17" t="n">
        <f aca="false">O27*(Допущения!$F$53+Допущения!$F$54)+(L27*F27+N27*Допущения!$F$28*E27)*Допущения!$F$13</f>
        <v>2378711.53300637</v>
      </c>
      <c r="AB27" s="17" t="n">
        <f aca="false">(R27+S27)*Допущения!$F$52</f>
        <v>213300</v>
      </c>
      <c r="AC27" s="17" t="n">
        <f aca="false">SUMPRODUCT(Допущения!$B$84:$B$91,Допущения!$C$84:$C$91,--(Допущения!$D$84:$D$91&lt;=A27))*D27*Допущения!$F$9</f>
        <v>2123301.6</v>
      </c>
      <c r="AD27" s="17" t="n">
        <f aca="false">(AC27+Y27)*Допущения!$F$14</f>
        <v>1207188.36</v>
      </c>
      <c r="AE27" s="17" t="n">
        <f aca="false">Допущения!$F$55+Допущения!$F$56*O27/1000+Допущения!$F$57</f>
        <v>178876.693676949</v>
      </c>
      <c r="AF27" s="17" t="n">
        <f aca="false">SUMIF(Допущения!$B$95:$B$103,A27,Допущения!$C$95:$C$103)</f>
        <v>0</v>
      </c>
      <c r="AG27" s="17" t="n">
        <v>0</v>
      </c>
      <c r="AH27" s="17" t="n">
        <f aca="false">G27+SUM(X27:AG27)</f>
        <v>18151735.4863573</v>
      </c>
      <c r="AI27" s="17" t="n">
        <f aca="false">W27-AH27</f>
        <v>-7709279.59646482</v>
      </c>
      <c r="AJ27" s="17" t="n">
        <f aca="false">AJ26+AI27</f>
        <v>-107171782.962603</v>
      </c>
      <c r="AK27" s="17" t="n">
        <f aca="false">O27*Допущения!$F$58*Допущения!$F$59</f>
        <v>160366.361417416</v>
      </c>
      <c r="AL27" s="17" t="n">
        <f aca="false">T27*Допущения!$F$72</f>
        <v>444381.550348123</v>
      </c>
      <c r="AM27" s="17" t="n">
        <f aca="false">IF(MOD(A27,12)=0,INDEX($F$70:$F$74,B27),0)</f>
        <v>0</v>
      </c>
      <c r="AN27" s="17" t="n">
        <f aca="false">AI27-AM27</f>
        <v>-7709279.59646482</v>
      </c>
      <c r="AO27" s="26" t="n">
        <f aca="false">1/(1+Допущения!$F$74)^A27</f>
        <v>0.694502228715381</v>
      </c>
      <c r="AP27" s="21" t="str">
        <f aca="false">IF(AND(A27&gt;Допущения!$F$19,MIN(AI27:AI$65)&gt;0),A27,"")</f>
        <v/>
      </c>
      <c r="AQ27" s="21" t="str">
        <f aca="false">IF(MIN(AJ27:AJ$65)&gt;0,A27,"")</f>
        <v/>
      </c>
    </row>
    <row r="28" customFormat="false" ht="15" hidden="false" customHeight="false" outlineLevel="0" collapsed="false">
      <c r="A28" s="28" t="n">
        <v>23</v>
      </c>
      <c r="B28" s="28" t="n">
        <f aca="false">INT((A28-1)/12)+1</f>
        <v>2</v>
      </c>
      <c r="C28" s="12" t="s">
        <v>462</v>
      </c>
      <c r="D28" s="15" t="n">
        <f aca="false">(1+Допущения!$F$11)^(B28-1)</f>
        <v>1.08</v>
      </c>
      <c r="E28" s="15" t="n">
        <f aca="false">(1+Допущения!$F$12)^(B28-1)</f>
        <v>1.07</v>
      </c>
      <c r="F28" s="17" t="n">
        <f aca="false">Допущения!$F$71*E28</f>
        <v>2638.2776</v>
      </c>
      <c r="G28" s="17" t="n">
        <f aca="false">MIN(G27*(1+Допущения!$F$33),Допущения!$F$34)</f>
        <v>1726280.42364789</v>
      </c>
      <c r="H28" s="25" t="n">
        <f aca="false">MIN(Допущения!$F$30,G28/Допущения!$F$29)</f>
        <v>300</v>
      </c>
      <c r="I28" s="25" t="n">
        <f aca="false">MAX(0,G28-H28*Допущения!$F$29)/Допущения!$F$31</f>
        <v>212.713403941315</v>
      </c>
      <c r="J28" s="25" t="n">
        <f aca="false">IF(A28&gt;=Допущения!$F$35,Допущения!$F$36,0)</f>
        <v>40</v>
      </c>
      <c r="K28" s="25" t="n">
        <f aca="false">H28+I28+J28</f>
        <v>552.713403941315</v>
      </c>
      <c r="L28" s="25" t="n">
        <f aca="false">(L27-K27)*(1-Допущения!$F$44)+K27*(1-Допущения!$F$43)+K28</f>
        <v>4282.80690282321</v>
      </c>
      <c r="M28" s="25" t="n">
        <f aca="false">IF(A28&gt;=Допущения!$F$38,Допущения!$F$73/Допущения!$F$42*MIN(Допущения!$F$42,A28-Допущения!$F$38+1),0)</f>
        <v>60</v>
      </c>
      <c r="N28" s="25" t="n">
        <f aca="false">N27*(1-Допущения!$F$45)+M28</f>
        <v>828.311410581454</v>
      </c>
      <c r="O28" s="25" t="n">
        <f aca="false">L28+N28</f>
        <v>5111.11831340467</v>
      </c>
      <c r="P28" s="25" t="n">
        <f aca="false">L28*Допущения!$F$25</f>
        <v>1284.84207084696</v>
      </c>
      <c r="Q28" s="25" t="n">
        <f aca="false">L28*(1-Допущения!$F$25)+N28</f>
        <v>3826.2762425577</v>
      </c>
      <c r="R28" s="17" t="n">
        <f aca="false">MAX(Допущения!$F$18,ROUNDUP(Q28/Допущения!$F$68+P28/Допущения!$F$69,0))</f>
        <v>74</v>
      </c>
      <c r="S28" s="17" t="n">
        <f aca="false">ROUNDUP(R28/Допущения!$F$48,0)</f>
        <v>8</v>
      </c>
      <c r="T28" s="17" t="n">
        <f aca="false">L28*F28/(1+Допущения!$F$6)</f>
        <v>9261666.81708513</v>
      </c>
      <c r="U28" s="17" t="n">
        <f aca="false">N28*Допущения!$F$28*E28/(1+Допущения!$F$6)</f>
        <v>1089704.76556003</v>
      </c>
      <c r="V28" s="17" t="n">
        <f aca="false">O28*Допущения!$F$26*Допущения!$F$27/(1+Допущения!$F$6)</f>
        <v>628416.186074344</v>
      </c>
      <c r="W28" s="17" t="n">
        <f aca="false">T28+U28+V28</f>
        <v>10979787.7687195</v>
      </c>
      <c r="X28" s="17" t="n">
        <f aca="false">J28*Допущения!$F$37</f>
        <v>20000</v>
      </c>
      <c r="Y28" s="17" t="n">
        <f aca="false">(R28*Допущения!$F$47+S28*Допущения!$F$49)*D28*Допущения!$F$9</f>
        <v>10307152.8</v>
      </c>
      <c r="Z28" s="17" t="n">
        <f aca="false">(MAX(0,R28-R27)+R28*Допущения!$F$50/12)*Допущения!$F$51*D28</f>
        <v>405945</v>
      </c>
      <c r="AA28" s="17" t="n">
        <f aca="false">O28*(Допущения!$F$53+Допущения!$F$54)+(L28*F28+N28*Допущения!$F$28*E28)*Допущения!$F$13</f>
        <v>2501763.76941996</v>
      </c>
      <c r="AB28" s="17" t="n">
        <f aca="false">(R28+S28)*Допущения!$F$52</f>
        <v>221400</v>
      </c>
      <c r="AC28" s="17" t="n">
        <f aca="false">SUMPRODUCT(Допущения!$B$84:$B$91,Допущения!$C$84:$C$91,--(Допущения!$D$84:$D$91&lt;=A28))*D28*Допущения!$F$9</f>
        <v>2123301.6</v>
      </c>
      <c r="AD28" s="17" t="n">
        <f aca="false">(AC28+Y28)*Допущения!$F$14</f>
        <v>1243045.44</v>
      </c>
      <c r="AE28" s="17" t="n">
        <f aca="false">Допущения!$F$55+Допущения!$F$56*O28/1000+Допущения!$F$57</f>
        <v>180888.946507237</v>
      </c>
      <c r="AF28" s="17" t="n">
        <f aca="false">SUMIF(Допущения!$B$95:$B$103,A28,Допущения!$C$95:$C$103)</f>
        <v>0</v>
      </c>
      <c r="AG28" s="17" t="n">
        <v>0</v>
      </c>
      <c r="AH28" s="17" t="n">
        <f aca="false">G28+SUM(X28:AG28)</f>
        <v>18729777.9795751</v>
      </c>
      <c r="AI28" s="17" t="n">
        <f aca="false">W28-AH28</f>
        <v>-7749990.21085559</v>
      </c>
      <c r="AJ28" s="17" t="n">
        <f aca="false">AJ27+AI28</f>
        <v>-114921773.173459</v>
      </c>
      <c r="AK28" s="17" t="n">
        <f aca="false">O28*Допущения!$F$58*Допущения!$F$59</f>
        <v>168666.904342354</v>
      </c>
      <c r="AL28" s="17" t="n">
        <f aca="false">T28*Допущения!$F$72</f>
        <v>466974.797500091</v>
      </c>
      <c r="AM28" s="17" t="n">
        <f aca="false">IF(MOD(A28,12)=0,INDEX($F$70:$F$74,B28),0)</f>
        <v>0</v>
      </c>
      <c r="AN28" s="17" t="n">
        <f aca="false">AI28-AM28</f>
        <v>-7749990.21085559</v>
      </c>
      <c r="AO28" s="26" t="n">
        <f aca="false">1/(1+Допущения!$F$74)^A28</f>
        <v>0.683088527192375</v>
      </c>
      <c r="AP28" s="21" t="str">
        <f aca="false">IF(AND(A28&gt;Допущения!$F$19,MIN(AI28:AI$65)&gt;0),A28,"")</f>
        <v/>
      </c>
      <c r="AQ28" s="21" t="str">
        <f aca="false">IF(MIN(AJ28:AJ$65)&gt;0,A28,"")</f>
        <v/>
      </c>
    </row>
    <row r="29" customFormat="false" ht="15" hidden="false" customHeight="false" outlineLevel="0" collapsed="false">
      <c r="A29" s="28" t="n">
        <v>24</v>
      </c>
      <c r="B29" s="28" t="n">
        <f aca="false">INT((A29-1)/12)+1</f>
        <v>2</v>
      </c>
      <c r="C29" s="12" t="s">
        <v>462</v>
      </c>
      <c r="D29" s="15" t="n">
        <f aca="false">(1+Допущения!$F$11)^(B29-1)</f>
        <v>1.08</v>
      </c>
      <c r="E29" s="15" t="n">
        <f aca="false">(1+Допущения!$F$12)^(B29-1)</f>
        <v>1.07</v>
      </c>
      <c r="F29" s="17" t="n">
        <f aca="false">Допущения!$F$71*E29</f>
        <v>2638.2776</v>
      </c>
      <c r="G29" s="17" t="n">
        <f aca="false">MIN(G28*(1+Допущения!$F$33),Допущения!$F$34)</f>
        <v>1864382.85753972</v>
      </c>
      <c r="H29" s="25" t="n">
        <f aca="false">MIN(Допущения!$F$30,G29/Допущения!$F$29)</f>
        <v>300</v>
      </c>
      <c r="I29" s="25" t="n">
        <f aca="false">MAX(0,G29-H29*Допущения!$F$29)/Допущения!$F$31</f>
        <v>235.73047625662</v>
      </c>
      <c r="J29" s="25" t="n">
        <f aca="false">IF(A29&gt;=Допущения!$F$35,Допущения!$F$36,0)</f>
        <v>40</v>
      </c>
      <c r="K29" s="25" t="n">
        <f aca="false">H29+I29+J29</f>
        <v>575.730476256621</v>
      </c>
      <c r="L29" s="25" t="n">
        <f aca="false">(L28-K28)*(1-Допущения!$F$44)+K28*(1-Допущения!$F$43)+K29</f>
        <v>4496.55341816159</v>
      </c>
      <c r="M29" s="25" t="n">
        <f aca="false">IF(A29&gt;=Допущения!$F$38,Допущения!$F$73/Допущения!$F$42*MIN(Допущения!$F$42,A29-Допущения!$F$38+1),0)</f>
        <v>60</v>
      </c>
      <c r="N29" s="25" t="n">
        <f aca="false">N28*(1-Допущения!$F$45)+M29</f>
        <v>871.745182369825</v>
      </c>
      <c r="O29" s="25" t="n">
        <f aca="false">L29+N29</f>
        <v>5368.29860053141</v>
      </c>
      <c r="P29" s="25" t="n">
        <f aca="false">L29*Допущения!$F$25</f>
        <v>1348.96602544848</v>
      </c>
      <c r="Q29" s="25" t="n">
        <f aca="false">L29*(1-Допущения!$F$25)+N29</f>
        <v>4019.33257508294</v>
      </c>
      <c r="R29" s="17" t="n">
        <f aca="false">MAX(Допущения!$F$18,ROUNDUP(Q29/Допущения!$F$68+P29/Допущения!$F$69,0))</f>
        <v>78</v>
      </c>
      <c r="S29" s="17" t="n">
        <f aca="false">ROUNDUP(R29/Допущения!$F$48,0)</f>
        <v>8</v>
      </c>
      <c r="T29" s="17" t="n">
        <f aca="false">L29*F29/(1+Допущения!$F$6)</f>
        <v>9723898.49208127</v>
      </c>
      <c r="U29" s="17" t="n">
        <f aca="false">N29*Допущения!$F$28*E29/(1+Допущения!$F$6)</f>
        <v>1146845.09647834</v>
      </c>
      <c r="V29" s="17" t="n">
        <f aca="false">O29*Допущения!$F$26*Допущения!$F$27/(1+Допущения!$F$6)</f>
        <v>660036.713180092</v>
      </c>
      <c r="W29" s="17" t="n">
        <f aca="false">T29+U29+V29</f>
        <v>11530780.3017397</v>
      </c>
      <c r="X29" s="17" t="n">
        <f aca="false">J29*Допущения!$F$37</f>
        <v>20000</v>
      </c>
      <c r="Y29" s="17" t="n">
        <f aca="false">(R29*Допущения!$F$47+S29*Допущения!$F$49)*D29*Допущения!$F$9</f>
        <v>10785247.2</v>
      </c>
      <c r="Z29" s="17" t="n">
        <f aca="false">(MAX(0,R29-R28)+R29*Допущения!$F$50/12)*Допущения!$F$51*D29</f>
        <v>498015</v>
      </c>
      <c r="AA29" s="17" t="n">
        <f aca="false">O29*(Допущения!$F$53+Допущения!$F$54)+(L29*F29+N29*Допущения!$F$28*E29)*Допущения!$F$13</f>
        <v>2627614.40644125</v>
      </c>
      <c r="AB29" s="17" t="n">
        <f aca="false">(R29+S29)*Допущения!$F$52</f>
        <v>232200</v>
      </c>
      <c r="AC29" s="17" t="n">
        <f aca="false">SUMPRODUCT(Допущения!$B$84:$B$91,Допущения!$C$84:$C$91,--(Допущения!$D$84:$D$91&lt;=A29))*D29*Допущения!$F$9</f>
        <v>2123301.6</v>
      </c>
      <c r="AD29" s="17" t="n">
        <f aca="false">(AC29+Y29)*Допущения!$F$14</f>
        <v>1290854.88</v>
      </c>
      <c r="AE29" s="17" t="n">
        <f aca="false">Допущения!$F$55+Допущения!$F$56*O29/1000+Допущения!$F$57</f>
        <v>182946.388804251</v>
      </c>
      <c r="AF29" s="17" t="n">
        <f aca="false">SUMIF(Допущения!$B$95:$B$103,A29,Допущения!$C$95:$C$103)</f>
        <v>0</v>
      </c>
      <c r="AG29" s="17" t="n">
        <v>0</v>
      </c>
      <c r="AH29" s="17" t="n">
        <f aca="false">G29+SUM(X29:AG29)</f>
        <v>19624562.3327852</v>
      </c>
      <c r="AI29" s="17" t="n">
        <f aca="false">W29-AH29</f>
        <v>-8093782.03104553</v>
      </c>
      <c r="AJ29" s="17" t="n">
        <f aca="false">AJ28+AI29</f>
        <v>-123015555.204504</v>
      </c>
      <c r="AK29" s="17" t="n">
        <f aca="false">O29*Допущения!$F$58*Допущения!$F$59</f>
        <v>177153.853817537</v>
      </c>
      <c r="AL29" s="17" t="n">
        <f aca="false">T29*Допущения!$F$72</f>
        <v>490280.596239392</v>
      </c>
      <c r="AM29" s="17" t="n">
        <f aca="false">IF(MOD(A29,12)=0,INDEX($F$70:$F$74,B29),0)</f>
        <v>0</v>
      </c>
      <c r="AN29" s="17" t="n">
        <f aca="false">AI29-AM29</f>
        <v>-8093782.03104553</v>
      </c>
      <c r="AO29" s="26" t="n">
        <f aca="false">1/(1+Допущения!$F$74)^A29</f>
        <v>0.671862402579953</v>
      </c>
      <c r="AP29" s="21" t="str">
        <f aca="false">IF(AND(A29&gt;Допущения!$F$19,MIN(AI29:AI$65)&gt;0),A29,"")</f>
        <v/>
      </c>
      <c r="AQ29" s="21" t="str">
        <f aca="false">IF(MIN(AJ29:AJ$65)&gt;0,A29,"")</f>
        <v/>
      </c>
    </row>
    <row r="30" customFormat="false" ht="15" hidden="false" customHeight="false" outlineLevel="0" collapsed="false">
      <c r="A30" s="28" t="n">
        <v>25</v>
      </c>
      <c r="B30" s="28" t="n">
        <f aca="false">INT((A30-1)/12)+1</f>
        <v>3</v>
      </c>
      <c r="C30" s="12" t="s">
        <v>462</v>
      </c>
      <c r="D30" s="15" t="n">
        <f aca="false">(1+Допущения!$F$11)^(B30-1)</f>
        <v>1.1664</v>
      </c>
      <c r="E30" s="15" t="n">
        <f aca="false">(1+Допущения!$F$12)^(B30-1)</f>
        <v>1.1449</v>
      </c>
      <c r="F30" s="17" t="n">
        <f aca="false">Допущения!$F$71*E30</f>
        <v>2822.957032</v>
      </c>
      <c r="G30" s="17" t="n">
        <f aca="false">MIN(G29*(1+Допущения!$F$33),Допущения!$F$34)</f>
        <v>2013533.4861429</v>
      </c>
      <c r="H30" s="25" t="n">
        <f aca="false">MIN(Допущения!$F$30,G30/Допущения!$F$29)</f>
        <v>300</v>
      </c>
      <c r="I30" s="25" t="n">
        <f aca="false">MAX(0,G30-H30*Допущения!$F$29)/Допущения!$F$31</f>
        <v>260.58891435715</v>
      </c>
      <c r="J30" s="25" t="n">
        <f aca="false">IF(A30&gt;=Допущения!$F$35,Допущения!$F$36,0)</f>
        <v>40</v>
      </c>
      <c r="K30" s="25" t="n">
        <f aca="false">H30+I30+J30</f>
        <v>600.58891435715</v>
      </c>
      <c r="L30" s="25" t="n">
        <f aca="false">(L29-K29)*(1-Допущения!$F$44)+K29*(1-Допущения!$F$43)+K30</f>
        <v>4717.96033694029</v>
      </c>
      <c r="M30" s="25" t="n">
        <f aca="false">IF(A30&gt;=Допущения!$F$38,Допущения!$F$73/Допущения!$F$42*MIN(Допущения!$F$42,A30-Допущения!$F$38+1),0)</f>
        <v>60</v>
      </c>
      <c r="N30" s="25" t="n">
        <f aca="false">N29*(1-Допущения!$F$45)+M30</f>
        <v>914.310278722429</v>
      </c>
      <c r="O30" s="25" t="n">
        <f aca="false">L30+N30</f>
        <v>5632.27061566272</v>
      </c>
      <c r="P30" s="25" t="n">
        <f aca="false">L30*Допущения!$F$25</f>
        <v>1415.38810108209</v>
      </c>
      <c r="Q30" s="25" t="n">
        <f aca="false">L30*(1-Допущения!$F$25)+N30</f>
        <v>4216.88251458063</v>
      </c>
      <c r="R30" s="17" t="n">
        <f aca="false">MAX(Допущения!$F$18,ROUNDUP(Q30/Допущения!$F$68+P30/Допущения!$F$69,0))</f>
        <v>82</v>
      </c>
      <c r="S30" s="17" t="n">
        <f aca="false">ROUNDUP(R30/Допущения!$F$48,0)</f>
        <v>9</v>
      </c>
      <c r="T30" s="17" t="n">
        <f aca="false">L30*F30/(1+Допущения!$F$6)</f>
        <v>10916884.6802153</v>
      </c>
      <c r="U30" s="17" t="n">
        <f aca="false">N30*Допущения!$F$28*E30/(1+Допущения!$F$6)</f>
        <v>1287041.60423276</v>
      </c>
      <c r="V30" s="17" t="n">
        <f aca="false">O30*Допущения!$F$26*Допущения!$F$27/(1+Допущения!$F$6)</f>
        <v>692492.28881099</v>
      </c>
      <c r="W30" s="17" t="n">
        <f aca="false">T30+U30+V30</f>
        <v>12896418.573259</v>
      </c>
      <c r="X30" s="17" t="n">
        <f aca="false">J30*Допущения!$F$37</f>
        <v>20000</v>
      </c>
      <c r="Y30" s="17" t="n">
        <f aca="false">(R30*Допущения!$F$47+S30*Допущения!$F$49)*D30*Допущения!$F$9</f>
        <v>12361833.792</v>
      </c>
      <c r="Z30" s="17" t="n">
        <f aca="false">(MAX(0,R30-R29)+R30*Допущения!$F$50/12)*Допущения!$F$51*D30</f>
        <v>546895.8</v>
      </c>
      <c r="AA30" s="17" t="n">
        <f aca="false">O30*(Допущения!$F$53+Допущения!$F$54)+(L30*F30+N30*Допущения!$F$28*E30)*Допущения!$F$13</f>
        <v>2774358.64517639</v>
      </c>
      <c r="AB30" s="17" t="n">
        <f aca="false">(R30+S30)*Допущения!$F$52</f>
        <v>245700</v>
      </c>
      <c r="AC30" s="17" t="n">
        <f aca="false">SUMPRODUCT(Допущения!$B$84:$B$91,Допущения!$C$84:$C$91,--(Допущения!$D$84:$D$91&lt;=A30))*D30*Допущения!$F$9</f>
        <v>2293165.728</v>
      </c>
      <c r="AD30" s="17" t="n">
        <f aca="false">(AC30+Y30)*Допущения!$F$14</f>
        <v>1465499.952</v>
      </c>
      <c r="AE30" s="17" t="n">
        <f aca="false">Допущения!$F$55+Допущения!$F$56*O30/1000+Допущения!$F$57</f>
        <v>185058.164925302</v>
      </c>
      <c r="AF30" s="17" t="n">
        <f aca="false">SUMIF(Допущения!$B$95:$B$103,A30,Допущения!$C$95:$C$103)</f>
        <v>0</v>
      </c>
      <c r="AG30" s="17" t="n">
        <v>0</v>
      </c>
      <c r="AH30" s="17" t="n">
        <f aca="false">G30+SUM(X30:AG30)</f>
        <v>21906045.5682446</v>
      </c>
      <c r="AI30" s="17" t="n">
        <f aca="false">W30-AH30</f>
        <v>-9009626.99498555</v>
      </c>
      <c r="AJ30" s="17" t="n">
        <f aca="false">AJ29+AI30</f>
        <v>-132025182.19949</v>
      </c>
      <c r="AK30" s="17" t="n">
        <f aca="false">O30*Допущения!$F$58*Допущения!$F$59</f>
        <v>185864.93031687</v>
      </c>
      <c r="AL30" s="17" t="n">
        <f aca="false">T30*Допущения!$F$72</f>
        <v>550431.16034699</v>
      </c>
      <c r="AM30" s="17" t="n">
        <f aca="false">IF(MOD(A30,12)=0,INDEX($F$70:$F$74,B30),0)</f>
        <v>0</v>
      </c>
      <c r="AN30" s="17" t="n">
        <f aca="false">AI30-AM30</f>
        <v>-9009626.99498555</v>
      </c>
      <c r="AO30" s="26" t="n">
        <f aca="false">1/(1+Допущения!$F$74)^A30</f>
        <v>0.660820772171133</v>
      </c>
      <c r="AP30" s="21" t="str">
        <f aca="false">IF(AND(A30&gt;Допущения!$F$19,MIN(AI30:AI$65)&gt;0),A30,"")</f>
        <v/>
      </c>
      <c r="AQ30" s="21" t="str">
        <f aca="false">IF(MIN(AJ30:AJ$65)&gt;0,A30,"")</f>
        <v/>
      </c>
    </row>
    <row r="31" customFormat="false" ht="15" hidden="false" customHeight="false" outlineLevel="0" collapsed="false">
      <c r="A31" s="28" t="n">
        <v>26</v>
      </c>
      <c r="B31" s="28" t="n">
        <f aca="false">INT((A31-1)/12)+1</f>
        <v>3</v>
      </c>
      <c r="C31" s="12" t="s">
        <v>462</v>
      </c>
      <c r="D31" s="15" t="n">
        <f aca="false">(1+Допущения!$F$11)^(B31-1)</f>
        <v>1.1664</v>
      </c>
      <c r="E31" s="15" t="n">
        <f aca="false">(1+Допущения!$F$12)^(B31-1)</f>
        <v>1.1449</v>
      </c>
      <c r="F31" s="17" t="n">
        <f aca="false">Допущения!$F$71*E31</f>
        <v>2822.957032</v>
      </c>
      <c r="G31" s="17" t="n">
        <f aca="false">MIN(G30*(1+Допущения!$F$33),Допущения!$F$34)</f>
        <v>2174616.16503433</v>
      </c>
      <c r="H31" s="25" t="n">
        <f aca="false">MIN(Допущения!$F$30,G31/Допущения!$F$29)</f>
        <v>300</v>
      </c>
      <c r="I31" s="25" t="n">
        <f aca="false">MAX(0,G31-H31*Допущения!$F$29)/Допущения!$F$31</f>
        <v>287.436027505722</v>
      </c>
      <c r="J31" s="25" t="n">
        <f aca="false">IF(A31&gt;=Допущения!$F$35,Допущения!$F$36,0)</f>
        <v>40</v>
      </c>
      <c r="K31" s="25" t="n">
        <f aca="false">H31+I31+J31</f>
        <v>627.436027505722</v>
      </c>
      <c r="L31" s="25" t="n">
        <f aca="false">(L30-K30)*(1-Допущения!$F$44)+K30*(1-Допущения!$F$43)+K31</f>
        <v>4948.20685050173</v>
      </c>
      <c r="M31" s="25" t="n">
        <f aca="false">IF(A31&gt;=Допущения!$F$38,Допущения!$F$73/Допущения!$F$42*MIN(Допущения!$F$42,A31-Допущения!$F$38+1),0)</f>
        <v>60</v>
      </c>
      <c r="N31" s="25" t="n">
        <f aca="false">N30*(1-Допущения!$F$45)+M31</f>
        <v>956.02407314798</v>
      </c>
      <c r="O31" s="25" t="n">
        <f aca="false">L31+N31</f>
        <v>5904.23092364971</v>
      </c>
      <c r="P31" s="25" t="n">
        <f aca="false">L31*Допущения!$F$25</f>
        <v>1484.46205515052</v>
      </c>
      <c r="Q31" s="25" t="n">
        <f aca="false">L31*(1-Допущения!$F$25)+N31</f>
        <v>4419.76886849919</v>
      </c>
      <c r="R31" s="17" t="n">
        <f aca="false">MAX(Допущения!$F$18,ROUNDUP(Q31/Допущения!$F$68+P31/Допущения!$F$69,0))</f>
        <v>86</v>
      </c>
      <c r="S31" s="17" t="n">
        <f aca="false">ROUNDUP(R31/Допущения!$F$48,0)</f>
        <v>9</v>
      </c>
      <c r="T31" s="17" t="n">
        <f aca="false">L31*F31/(1+Допущения!$F$6)</f>
        <v>11449651.9052577</v>
      </c>
      <c r="U31" s="17" t="n">
        <f aca="false">N31*Допущения!$F$28*E31/(1+Допущения!$F$6)</f>
        <v>1345760.60821368</v>
      </c>
      <c r="V31" s="17" t="n">
        <f aca="false">O31*Допущения!$F$26*Допущения!$F$27/(1+Допущения!$F$6)</f>
        <v>725930.031596276</v>
      </c>
      <c r="W31" s="17" t="n">
        <f aca="false">T31+U31+V31</f>
        <v>13521342.5450677</v>
      </c>
      <c r="X31" s="17" t="n">
        <f aca="false">J31*Допущения!$F$37</f>
        <v>20000</v>
      </c>
      <c r="Y31" s="17" t="n">
        <f aca="false">(R31*Допущения!$F$47+S31*Допущения!$F$49)*D31*Допущения!$F$9</f>
        <v>12878175.744</v>
      </c>
      <c r="Z31" s="17" t="n">
        <f aca="false">(MAX(0,R31-R30)+R31*Допущения!$F$50/12)*Допущения!$F$51*D31</f>
        <v>555935.4</v>
      </c>
      <c r="AA31" s="17" t="n">
        <f aca="false">O31*(Допущения!$F$53+Допущения!$F$54)+(L31*F31+N31*Допущения!$F$28*E31)*Допущения!$F$13</f>
        <v>2908370.01981995</v>
      </c>
      <c r="AB31" s="17" t="n">
        <f aca="false">(R31+S31)*Допущения!$F$52</f>
        <v>256500</v>
      </c>
      <c r="AC31" s="17" t="n">
        <f aca="false">SUMPRODUCT(Допущения!$B$84:$B$91,Допущения!$C$84:$C$91,--(Допущения!$D$84:$D$91&lt;=A31))*D31*Допущения!$F$9</f>
        <v>2293165.728</v>
      </c>
      <c r="AD31" s="17" t="n">
        <f aca="false">(AC31+Y31)*Допущения!$F$14</f>
        <v>1517134.1472</v>
      </c>
      <c r="AE31" s="17" t="n">
        <f aca="false">Допущения!$F$55+Допущения!$F$56*O31/1000+Допущения!$F$57</f>
        <v>187233.847389198</v>
      </c>
      <c r="AF31" s="17" t="n">
        <f aca="false">SUMIF(Допущения!$B$95:$B$103,A31,Допущения!$C$95:$C$103)</f>
        <v>0</v>
      </c>
      <c r="AG31" s="17" t="n">
        <v>0</v>
      </c>
      <c r="AH31" s="17" t="n">
        <f aca="false">G31+SUM(X31:AG31)</f>
        <v>22791131.0514435</v>
      </c>
      <c r="AI31" s="17" t="n">
        <f aca="false">W31-AH31</f>
        <v>-9269788.5063758</v>
      </c>
      <c r="AJ31" s="17" t="n">
        <f aca="false">AJ30+AI31</f>
        <v>-141294970.705866</v>
      </c>
      <c r="AK31" s="17" t="n">
        <f aca="false">O31*Допущения!$F$58*Допущения!$F$59</f>
        <v>194839.620480441</v>
      </c>
      <c r="AL31" s="17" t="n">
        <f aca="false">T31*Допущения!$F$72</f>
        <v>577293.37337434</v>
      </c>
      <c r="AM31" s="17" t="n">
        <f aca="false">IF(MOD(A31,12)=0,INDEX($F$70:$F$74,B31),0)</f>
        <v>0</v>
      </c>
      <c r="AN31" s="17" t="n">
        <f aca="false">AI31-AM31</f>
        <v>-9269788.5063758</v>
      </c>
      <c r="AO31" s="26" t="n">
        <f aca="false">1/(1+Допущения!$F$74)^A31</f>
        <v>0.649960603921256</v>
      </c>
      <c r="AP31" s="21" t="str">
        <f aca="false">IF(AND(A31&gt;Допущения!$F$19,MIN(AI31:AI$65)&gt;0),A31,"")</f>
        <v/>
      </c>
      <c r="AQ31" s="21" t="str">
        <f aca="false">IF(MIN(AJ31:AJ$65)&gt;0,A31,"")</f>
        <v/>
      </c>
    </row>
    <row r="32" customFormat="false" ht="15" hidden="false" customHeight="false" outlineLevel="0" collapsed="false">
      <c r="A32" s="28" t="n">
        <v>27</v>
      </c>
      <c r="B32" s="28" t="n">
        <f aca="false">INT((A32-1)/12)+1</f>
        <v>3</v>
      </c>
      <c r="C32" s="12" t="s">
        <v>462</v>
      </c>
      <c r="D32" s="15" t="n">
        <f aca="false">(1+Допущения!$F$11)^(B32-1)</f>
        <v>1.1664</v>
      </c>
      <c r="E32" s="15" t="n">
        <f aca="false">(1+Допущения!$F$12)^(B32-1)</f>
        <v>1.1449</v>
      </c>
      <c r="F32" s="17" t="n">
        <f aca="false">Допущения!$F$71*E32</f>
        <v>2822.957032</v>
      </c>
      <c r="G32" s="17" t="n">
        <f aca="false">MIN(G31*(1+Допущения!$F$33),Допущения!$F$34)</f>
        <v>2348585.45823708</v>
      </c>
      <c r="H32" s="25" t="n">
        <f aca="false">MIN(Допущения!$F$30,G32/Допущения!$F$29)</f>
        <v>300</v>
      </c>
      <c r="I32" s="25" t="n">
        <f aca="false">MAX(0,G32-H32*Допущения!$F$29)/Допущения!$F$31</f>
        <v>316.43090970618</v>
      </c>
      <c r="J32" s="25" t="n">
        <f aca="false">IF(A32&gt;=Допущения!$F$35,Допущения!$F$36,0)</f>
        <v>40</v>
      </c>
      <c r="K32" s="25" t="n">
        <f aca="false">H32+I32+J32</f>
        <v>656.43090970618</v>
      </c>
      <c r="L32" s="25" t="n">
        <f aca="false">(L31-K31)*(1-Допущения!$F$44)+K31*(1-Допущения!$F$43)+K32</f>
        <v>5188.53250395172</v>
      </c>
      <c r="M32" s="25" t="n">
        <f aca="false">IF(A32&gt;=Допущения!$F$38,Допущения!$F$73/Допущения!$F$42*MIN(Допущения!$F$42,A32-Допущения!$F$38+1),0)</f>
        <v>60</v>
      </c>
      <c r="N32" s="25" t="n">
        <f aca="false">N31*(1-Допущения!$F$45)+M32</f>
        <v>996.90359168502</v>
      </c>
      <c r="O32" s="25" t="n">
        <f aca="false">L32+N32</f>
        <v>6185.43609563674</v>
      </c>
      <c r="P32" s="25" t="n">
        <f aca="false">L32*Допущения!$F$25</f>
        <v>1556.55975118552</v>
      </c>
      <c r="Q32" s="25" t="n">
        <f aca="false">L32*(1-Допущения!$F$25)+N32</f>
        <v>4628.87634445122</v>
      </c>
      <c r="R32" s="17" t="n">
        <f aca="false">MAX(Допущения!$F$18,ROUNDUP(Q32/Допущения!$F$68+P32/Допущения!$F$69,0))</f>
        <v>90</v>
      </c>
      <c r="S32" s="17" t="n">
        <f aca="false">ROUNDUP(R32/Допущения!$F$48,0)</f>
        <v>9</v>
      </c>
      <c r="T32" s="17" t="n">
        <f aca="false">L32*F32/(1+Допущения!$F$6)</f>
        <v>12005741.244091</v>
      </c>
      <c r="U32" s="17" t="n">
        <f aca="false">N32*Допущения!$F$28*E32/(1+Допущения!$F$6)</f>
        <v>1403305.23211498</v>
      </c>
      <c r="V32" s="17" t="n">
        <f aca="false">O32*Допущения!$F$26*Допущения!$F$27/(1+Допущения!$F$6)</f>
        <v>760504.437988124</v>
      </c>
      <c r="W32" s="17" t="n">
        <f aca="false">T32+U32+V32</f>
        <v>14169550.9141941</v>
      </c>
      <c r="X32" s="17" t="n">
        <f aca="false">J32*Допущения!$F$37</f>
        <v>20000</v>
      </c>
      <c r="Y32" s="17" t="n">
        <f aca="false">(R32*Допущения!$F$47+S32*Допущения!$F$49)*D32*Допущения!$F$9</f>
        <v>13394517.696</v>
      </c>
      <c r="Z32" s="17" t="n">
        <f aca="false">(MAX(0,R32-R31)+R32*Допущения!$F$50/12)*Допущения!$F$51*D32</f>
        <v>564975</v>
      </c>
      <c r="AA32" s="17" t="n">
        <f aca="false">O32*(Допущения!$F$53+Допущения!$F$54)+(L32*F32+N32*Допущения!$F$28*E32)*Допущения!$F$13</f>
        <v>3046981.72317583</v>
      </c>
      <c r="AB32" s="17" t="n">
        <f aca="false">(R32+S32)*Допущения!$F$52</f>
        <v>267300</v>
      </c>
      <c r="AC32" s="17" t="n">
        <f aca="false">SUMPRODUCT(Допущения!$B$84:$B$91,Допущения!$C$84:$C$91,--(Допущения!$D$84:$D$91&lt;=A32))*D32*Допущения!$F$9</f>
        <v>2293165.728</v>
      </c>
      <c r="AD32" s="17" t="n">
        <f aca="false">(AC32+Y32)*Допущения!$F$14</f>
        <v>1568768.3424</v>
      </c>
      <c r="AE32" s="17" t="n">
        <f aca="false">Допущения!$F$55+Допущения!$F$56*O32/1000+Допущения!$F$57</f>
        <v>189483.488765094</v>
      </c>
      <c r="AF32" s="17" t="n">
        <f aca="false">SUMIF(Допущения!$B$95:$B$103,A32,Допущения!$C$95:$C$103)</f>
        <v>0</v>
      </c>
      <c r="AG32" s="17" t="n">
        <v>0</v>
      </c>
      <c r="AH32" s="17" t="n">
        <f aca="false">G32+SUM(X32:AG32)</f>
        <v>23693777.436578</v>
      </c>
      <c r="AI32" s="17" t="n">
        <f aca="false">W32-AH32</f>
        <v>-9524226.52238386</v>
      </c>
      <c r="AJ32" s="17" t="n">
        <f aca="false">AJ31+AI32</f>
        <v>-150819197.22825</v>
      </c>
      <c r="AK32" s="17" t="n">
        <f aca="false">O32*Допущения!$F$58*Допущения!$F$59</f>
        <v>204119.391156012</v>
      </c>
      <c r="AL32" s="17" t="n">
        <f aca="false">T32*Допущения!$F$72</f>
        <v>605331.491298708</v>
      </c>
      <c r="AM32" s="17" t="n">
        <f aca="false">IF(MOD(A32,12)=0,INDEX($F$70:$F$74,B32),0)</f>
        <v>0</v>
      </c>
      <c r="AN32" s="17" t="n">
        <f aca="false">AI32-AM32</f>
        <v>-9524226.52238386</v>
      </c>
      <c r="AO32" s="26" t="n">
        <f aca="false">1/(1+Допущения!$F$74)^A32</f>
        <v>0.639278915615386</v>
      </c>
      <c r="AP32" s="21" t="str">
        <f aca="false">IF(AND(A32&gt;Допущения!$F$19,MIN(AI32:AI$65)&gt;0),A32,"")</f>
        <v/>
      </c>
      <c r="AQ32" s="21" t="str">
        <f aca="false">IF(MIN(AJ32:AJ$65)&gt;0,A32,"")</f>
        <v/>
      </c>
    </row>
    <row r="33" customFormat="false" ht="15" hidden="false" customHeight="false" outlineLevel="0" collapsed="false">
      <c r="A33" s="28" t="n">
        <v>28</v>
      </c>
      <c r="B33" s="28" t="n">
        <f aca="false">INT((A33-1)/12)+1</f>
        <v>3</v>
      </c>
      <c r="C33" s="12" t="s">
        <v>462</v>
      </c>
      <c r="D33" s="15" t="n">
        <f aca="false">(1+Допущения!$F$11)^(B33-1)</f>
        <v>1.1664</v>
      </c>
      <c r="E33" s="15" t="n">
        <f aca="false">(1+Допущения!$F$12)^(B33-1)</f>
        <v>1.1449</v>
      </c>
      <c r="F33" s="17" t="n">
        <f aca="false">Допущения!$F$71*E33</f>
        <v>2822.957032</v>
      </c>
      <c r="G33" s="17" t="n">
        <f aca="false">MIN(G32*(1+Допущения!$F$33),Допущения!$F$34)</f>
        <v>2500000</v>
      </c>
      <c r="H33" s="25" t="n">
        <f aca="false">MIN(Допущения!$F$30,G33/Допущения!$F$29)</f>
        <v>300</v>
      </c>
      <c r="I33" s="25" t="n">
        <f aca="false">MAX(0,G33-H33*Допущения!$F$29)/Допущения!$F$31</f>
        <v>341.666666666667</v>
      </c>
      <c r="J33" s="25" t="n">
        <f aca="false">IF(A33&gt;=Допущения!$F$35,Допущения!$F$36,0)</f>
        <v>40</v>
      </c>
      <c r="K33" s="25" t="n">
        <f aca="false">H33+I33+J33</f>
        <v>681.666666666667</v>
      </c>
      <c r="L33" s="25" t="n">
        <f aca="false">(L32-K32)*(1-Допущения!$F$44)+K32*(1-Допущения!$F$43)+K33</f>
        <v>5434.16534753711</v>
      </c>
      <c r="M33" s="25" t="n">
        <f aca="false">IF(A33&gt;=Допущения!$F$38,Допущения!$F$73/Допущения!$F$42*MIN(Допущения!$F$42,A33-Допущения!$F$38+1),0)</f>
        <v>60</v>
      </c>
      <c r="N33" s="25" t="n">
        <f aca="false">N32*(1-Допущения!$F$45)+M33</f>
        <v>1036.96551985132</v>
      </c>
      <c r="O33" s="25" t="n">
        <f aca="false">L33+N33</f>
        <v>6471.13086738843</v>
      </c>
      <c r="P33" s="25" t="n">
        <f aca="false">L33*Допущения!$F$25</f>
        <v>1630.24960426113</v>
      </c>
      <c r="Q33" s="25" t="n">
        <f aca="false">L33*(1-Допущения!$F$25)+N33</f>
        <v>4840.8812631273</v>
      </c>
      <c r="R33" s="17" t="n">
        <f aca="false">MAX(Допущения!$F$18,ROUNDUP(Q33/Допущения!$F$68+P33/Допущения!$F$69,0))</f>
        <v>94</v>
      </c>
      <c r="S33" s="17" t="n">
        <f aca="false">ROUNDUP(R33/Допущения!$F$48,0)</f>
        <v>10</v>
      </c>
      <c r="T33" s="17" t="n">
        <f aca="false">L33*F33/(1+Допущения!$F$6)</f>
        <v>12574110.8859677</v>
      </c>
      <c r="U33" s="17" t="n">
        <f aca="false">N33*Допущения!$F$28*E33/(1+Допущения!$F$6)</f>
        <v>1459698.96353825</v>
      </c>
      <c r="V33" s="17" t="n">
        <f aca="false">O33*Допущения!$F$26*Допущения!$F$27/(1+Допущения!$F$6)</f>
        <v>795630.844351037</v>
      </c>
      <c r="W33" s="17" t="n">
        <f aca="false">T33+U33+V33</f>
        <v>14829440.693857</v>
      </c>
      <c r="X33" s="17" t="n">
        <f aca="false">J33*Допущения!$F$37</f>
        <v>20000</v>
      </c>
      <c r="Y33" s="17" t="n">
        <f aca="false">(R33*Допущения!$F$47+S33*Допущения!$F$49)*D33*Допущения!$F$9</f>
        <v>14108284.512</v>
      </c>
      <c r="Z33" s="17" t="n">
        <f aca="false">(MAX(0,R33-R32)+R33*Допущения!$F$50/12)*Допущения!$F$51*D33</f>
        <v>574014.6</v>
      </c>
      <c r="AA33" s="17" t="n">
        <f aca="false">O33*(Допущения!$F$53+Допущения!$F$54)+(L33*F33+N33*Допущения!$F$28*E33)*Допущения!$F$13</f>
        <v>3187835.700283</v>
      </c>
      <c r="AB33" s="17" t="n">
        <f aca="false">(R33+S33)*Допущения!$F$52</f>
        <v>280800</v>
      </c>
      <c r="AC33" s="17" t="n">
        <f aca="false">SUMPRODUCT(Допущения!$B$84:$B$91,Допущения!$C$84:$C$91,--(Допущения!$D$84:$D$91&lt;=A33))*D33*Допущения!$F$9</f>
        <v>2293165.728</v>
      </c>
      <c r="AD33" s="17" t="n">
        <f aca="false">(AC33+Y33)*Допущения!$F$14</f>
        <v>1640145.024</v>
      </c>
      <c r="AE33" s="17" t="n">
        <f aca="false">Допущения!$F$55+Допущения!$F$56*O33/1000+Допущения!$F$57</f>
        <v>191769.046939107</v>
      </c>
      <c r="AF33" s="17" t="n">
        <f aca="false">SUMIF(Допущения!$B$95:$B$103,A33,Допущения!$C$95:$C$103)</f>
        <v>0</v>
      </c>
      <c r="AG33" s="17" t="n">
        <v>0</v>
      </c>
      <c r="AH33" s="17" t="n">
        <f aca="false">G33+SUM(X33:AG33)</f>
        <v>24796014.6112221</v>
      </c>
      <c r="AI33" s="17" t="n">
        <f aca="false">W33-AH33</f>
        <v>-9966573.91736512</v>
      </c>
      <c r="AJ33" s="17" t="n">
        <f aca="false">AJ32+AI33</f>
        <v>-160785771.145615</v>
      </c>
      <c r="AK33" s="17" t="n">
        <f aca="false">O33*Допущения!$F$58*Допущения!$F$59</f>
        <v>213547.318623818</v>
      </c>
      <c r="AL33" s="17" t="n">
        <f aca="false">T33*Допущения!$F$72</f>
        <v>633988.784166439</v>
      </c>
      <c r="AM33" s="17" t="n">
        <f aca="false">IF(MOD(A33,12)=0,INDEX($F$70:$F$74,B33),0)</f>
        <v>0</v>
      </c>
      <c r="AN33" s="17" t="n">
        <f aca="false">AI33-AM33</f>
        <v>-9966573.91736512</v>
      </c>
      <c r="AO33" s="26" t="n">
        <f aca="false">1/(1+Допущения!$F$74)^A33</f>
        <v>0.628772774049389</v>
      </c>
      <c r="AP33" s="21" t="str">
        <f aca="false">IF(AND(A33&gt;Допущения!$F$19,MIN(AI33:AI$65)&gt;0),A33,"")</f>
        <v/>
      </c>
      <c r="AQ33" s="21" t="str">
        <f aca="false">IF(MIN(AJ33:AJ$65)&gt;0,A33,"")</f>
        <v/>
      </c>
    </row>
    <row r="34" customFormat="false" ht="15" hidden="false" customHeight="false" outlineLevel="0" collapsed="false">
      <c r="A34" s="28" t="n">
        <v>29</v>
      </c>
      <c r="B34" s="28" t="n">
        <f aca="false">INT((A34-1)/12)+1</f>
        <v>3</v>
      </c>
      <c r="C34" s="12" t="s">
        <v>462</v>
      </c>
      <c r="D34" s="15" t="n">
        <f aca="false">(1+Допущения!$F$11)^(B34-1)</f>
        <v>1.1664</v>
      </c>
      <c r="E34" s="15" t="n">
        <f aca="false">(1+Допущения!$F$12)^(B34-1)</f>
        <v>1.1449</v>
      </c>
      <c r="F34" s="17" t="n">
        <f aca="false">Допущения!$F$71*E34</f>
        <v>2822.957032</v>
      </c>
      <c r="G34" s="17" t="n">
        <f aca="false">MIN(G33*(1+Допущения!$F$33),Допущения!$F$34)</f>
        <v>2500000</v>
      </c>
      <c r="H34" s="25" t="n">
        <f aca="false">MIN(Допущения!$F$30,G34/Допущения!$F$29)</f>
        <v>300</v>
      </c>
      <c r="I34" s="25" t="n">
        <f aca="false">MAX(0,G34-H34*Допущения!$F$29)/Допущения!$F$31</f>
        <v>341.666666666667</v>
      </c>
      <c r="J34" s="25" t="n">
        <f aca="false">IF(A34&gt;=Допущения!$F$35,Допущения!$F$36,0)</f>
        <v>40</v>
      </c>
      <c r="K34" s="25" t="n">
        <f aca="false">H34+I34+J34</f>
        <v>681.666666666667</v>
      </c>
      <c r="L34" s="25" t="n">
        <f aca="false">(L33-K33)*(1-Допущения!$F$44)+K33*(1-Допущения!$F$43)+K34</f>
        <v>5660.26542668488</v>
      </c>
      <c r="M34" s="25" t="n">
        <f aca="false">IF(A34&gt;=Допущения!$F$38,Допущения!$F$73/Допущения!$F$42*MIN(Допущения!$F$42,A34-Допущения!$F$38+1),0)</f>
        <v>60</v>
      </c>
      <c r="N34" s="25" t="n">
        <f aca="false">N33*(1-Допущения!$F$45)+M34</f>
        <v>1076.22620945429</v>
      </c>
      <c r="O34" s="25" t="n">
        <f aca="false">L34+N34</f>
        <v>6736.49163613918</v>
      </c>
      <c r="P34" s="25" t="n">
        <f aca="false">L34*Допущения!$F$25</f>
        <v>1698.07962800546</v>
      </c>
      <c r="Q34" s="25" t="n">
        <f aca="false">L34*(1-Допущения!$F$25)+N34</f>
        <v>5038.41200813371</v>
      </c>
      <c r="R34" s="17" t="n">
        <f aca="false">MAX(Допущения!$F$18,ROUNDUP(Q34/Допущения!$F$68+P34/Допущения!$F$69,0))</f>
        <v>98</v>
      </c>
      <c r="S34" s="17" t="n">
        <f aca="false">ROUNDUP(R34/Допущения!$F$48,0)</f>
        <v>10</v>
      </c>
      <c r="T34" s="17" t="n">
        <f aca="false">L34*F34/(1+Допущения!$F$6)</f>
        <v>13097283.6797103</v>
      </c>
      <c r="U34" s="17" t="n">
        <f aca="false">N34*Допущения!$F$28*E34/(1+Допущения!$F$6)</f>
        <v>1514964.82033306</v>
      </c>
      <c r="V34" s="17" t="n">
        <f aca="false">O34*Допущения!$F$26*Допущения!$F$27/(1+Допущения!$F$6)</f>
        <v>828257.168377768</v>
      </c>
      <c r="W34" s="17" t="n">
        <f aca="false">T34+U34+V34</f>
        <v>15440505.6684211</v>
      </c>
      <c r="X34" s="17" t="n">
        <f aca="false">J34*Допущения!$F$37</f>
        <v>20000</v>
      </c>
      <c r="Y34" s="17" t="n">
        <f aca="false">(R34*Допущения!$F$47+S34*Допущения!$F$49)*D34*Допущения!$F$9</f>
        <v>14624626.464</v>
      </c>
      <c r="Z34" s="17" t="n">
        <f aca="false">(MAX(0,R34-R33)+R34*Допущения!$F$50/12)*Допущения!$F$51*D34</f>
        <v>583054.2</v>
      </c>
      <c r="AA34" s="17" t="n">
        <f aca="false">O34*(Допущения!$F$53+Допущения!$F$54)+(L34*F34+N34*Допущения!$F$28*E34)*Допущения!$F$13</f>
        <v>3318623.75514289</v>
      </c>
      <c r="AB34" s="17" t="n">
        <f aca="false">(R34+S34)*Допущения!$F$52</f>
        <v>291600</v>
      </c>
      <c r="AC34" s="17" t="n">
        <f aca="false">SUMPRODUCT(Допущения!$B$84:$B$91,Допущения!$C$84:$C$91,--(Допущения!$D$84:$D$91&lt;=A34))*D34*Допущения!$F$9</f>
        <v>2293165.728</v>
      </c>
      <c r="AD34" s="17" t="n">
        <f aca="false">(AC34+Y34)*Допущения!$F$14</f>
        <v>1691779.2192</v>
      </c>
      <c r="AE34" s="17" t="n">
        <f aca="false">Допущения!$F$55+Допущения!$F$56*O34/1000+Допущения!$F$57</f>
        <v>193891.933089113</v>
      </c>
      <c r="AF34" s="17" t="n">
        <f aca="false">SUMIF(Допущения!$B$95:$B$103,A34,Допущения!$C$95:$C$103)</f>
        <v>0</v>
      </c>
      <c r="AG34" s="17" t="n">
        <v>0</v>
      </c>
      <c r="AH34" s="17" t="n">
        <f aca="false">G34+SUM(X34:AG34)</f>
        <v>25516741.299432</v>
      </c>
      <c r="AI34" s="17" t="n">
        <f aca="false">W34-AH34</f>
        <v>-10076235.6310109</v>
      </c>
      <c r="AJ34" s="17" t="n">
        <f aca="false">AJ33+AI34</f>
        <v>-170862006.776626</v>
      </c>
      <c r="AK34" s="17" t="n">
        <f aca="false">O34*Допущения!$F$58*Допущения!$F$59</f>
        <v>222304.223992593</v>
      </c>
      <c r="AL34" s="17" t="n">
        <f aca="false">T34*Допущения!$F$72</f>
        <v>660367.244355141</v>
      </c>
      <c r="AM34" s="17" t="n">
        <f aca="false">IF(MOD(A34,12)=0,INDEX($F$70:$F$74,B34),0)</f>
        <v>0</v>
      </c>
      <c r="AN34" s="17" t="n">
        <f aca="false">AI34-AM34</f>
        <v>-10076235.6310109</v>
      </c>
      <c r="AO34" s="26" t="n">
        <f aca="false">1/(1+Допущения!$F$74)^A34</f>
        <v>0.618439294224469</v>
      </c>
      <c r="AP34" s="21" t="str">
        <f aca="false">IF(AND(A34&gt;Допущения!$F$19,MIN(AI34:AI$65)&gt;0),A34,"")</f>
        <v/>
      </c>
      <c r="AQ34" s="21" t="str">
        <f aca="false">IF(MIN(AJ34:AJ$65)&gt;0,A34,"")</f>
        <v/>
      </c>
    </row>
    <row r="35" customFormat="false" ht="15" hidden="false" customHeight="false" outlineLevel="0" collapsed="false">
      <c r="A35" s="28" t="n">
        <v>30</v>
      </c>
      <c r="B35" s="28" t="n">
        <f aca="false">INT((A35-1)/12)+1</f>
        <v>3</v>
      </c>
      <c r="C35" s="12" t="s">
        <v>462</v>
      </c>
      <c r="D35" s="15" t="n">
        <f aca="false">(1+Допущения!$F$11)^(B35-1)</f>
        <v>1.1664</v>
      </c>
      <c r="E35" s="15" t="n">
        <f aca="false">(1+Допущения!$F$12)^(B35-1)</f>
        <v>1.1449</v>
      </c>
      <c r="F35" s="17" t="n">
        <f aca="false">Допущения!$F$71*E35</f>
        <v>2822.957032</v>
      </c>
      <c r="G35" s="17" t="n">
        <f aca="false">MIN(G34*(1+Допущения!$F$33),Допущения!$F$34)</f>
        <v>2500000</v>
      </c>
      <c r="H35" s="25" t="n">
        <f aca="false">MIN(Допущения!$F$30,G35/Допущения!$F$29)</f>
        <v>300</v>
      </c>
      <c r="I35" s="25" t="n">
        <f aca="false">MAX(0,G35-H35*Допущения!$F$29)/Допущения!$F$31</f>
        <v>341.666666666667</v>
      </c>
      <c r="J35" s="25" t="n">
        <f aca="false">IF(A35&gt;=Допущения!$F$35,Допущения!$F$36,0)</f>
        <v>40</v>
      </c>
      <c r="K35" s="25" t="n">
        <f aca="false">H35+I35+J35</f>
        <v>681.666666666667</v>
      </c>
      <c r="L35" s="25" t="n">
        <f aca="false">(L34-K34)*(1-Допущения!$F$44)+K34*(1-Допущения!$F$43)+K35</f>
        <v>5872.79950108379</v>
      </c>
      <c r="M35" s="25" t="n">
        <f aca="false">IF(A35&gt;=Допущения!$F$38,Допущения!$F$73/Допущения!$F$42*MIN(Допущения!$F$42,A35-Допущения!$F$38+1),0)</f>
        <v>60</v>
      </c>
      <c r="N35" s="25" t="n">
        <f aca="false">N34*(1-Допущения!$F$45)+M35</f>
        <v>1114.70168526521</v>
      </c>
      <c r="O35" s="25" t="n">
        <f aca="false">L35+N35</f>
        <v>6987.501186349</v>
      </c>
      <c r="P35" s="25" t="n">
        <f aca="false">L35*Допущения!$F$25</f>
        <v>1761.83985032514</v>
      </c>
      <c r="Q35" s="25" t="n">
        <f aca="false">L35*(1-Допущения!$F$25)+N35</f>
        <v>5225.66133602386</v>
      </c>
      <c r="R35" s="17" t="n">
        <f aca="false">MAX(Допущения!$F$18,ROUNDUP(Q35/Допущения!$F$68+P35/Допущения!$F$69,0))</f>
        <v>101</v>
      </c>
      <c r="S35" s="17" t="n">
        <f aca="false">ROUNDUP(R35/Допущения!$F$48,0)</f>
        <v>11</v>
      </c>
      <c r="T35" s="17" t="n">
        <f aca="false">L35*F35/(1+Допущения!$F$6)</f>
        <v>13589066.1058283</v>
      </c>
      <c r="U35" s="17" t="n">
        <f aca="false">N35*Допущения!$F$28*E35/(1+Допущения!$F$6)</f>
        <v>1569125.35999197</v>
      </c>
      <c r="V35" s="17" t="n">
        <f aca="false">O35*Допущения!$F$26*Допущения!$F$27/(1+Допущения!$F$6)</f>
        <v>859118.998321598</v>
      </c>
      <c r="W35" s="17" t="n">
        <f aca="false">T35+U35+V35</f>
        <v>16017310.4641419</v>
      </c>
      <c r="X35" s="17" t="n">
        <f aca="false">J35*Допущения!$F$37</f>
        <v>20000</v>
      </c>
      <c r="Y35" s="17" t="n">
        <f aca="false">(R35*Допущения!$F$47+S35*Допущения!$F$49)*D35*Допущения!$F$9</f>
        <v>15209307.792</v>
      </c>
      <c r="Z35" s="17" t="n">
        <f aca="false">(MAX(0,R35-R34)+R35*Допущения!$F$50/12)*Допущения!$F$51*D35</f>
        <v>499437.9</v>
      </c>
      <c r="AA35" s="17" t="n">
        <f aca="false">O35*(Допущения!$F$53+Допущения!$F$54)+(L35*F35+N35*Допущения!$F$28*E35)*Допущения!$F$13</f>
        <v>3442311.91251472</v>
      </c>
      <c r="AB35" s="17" t="n">
        <f aca="false">(R35+S35)*Допущения!$F$52</f>
        <v>302400</v>
      </c>
      <c r="AC35" s="17" t="n">
        <f aca="false">SUMPRODUCT(Допущения!$B$84:$B$91,Допущения!$C$84:$C$91,--(Допущения!$D$84:$D$91&lt;=A35))*D35*Допущения!$F$9</f>
        <v>2293165.728</v>
      </c>
      <c r="AD35" s="17" t="n">
        <f aca="false">(AC35+Y35)*Допущения!$F$14</f>
        <v>1750247.352</v>
      </c>
      <c r="AE35" s="17" t="n">
        <f aca="false">Допущения!$F$55+Допущения!$F$56*O35/1000+Допущения!$F$57</f>
        <v>195900.009490792</v>
      </c>
      <c r="AF35" s="17" t="n">
        <f aca="false">SUMIF(Допущения!$B$95:$B$103,A35,Допущения!$C$95:$C$103)</f>
        <v>0</v>
      </c>
      <c r="AG35" s="17" t="n">
        <v>0</v>
      </c>
      <c r="AH35" s="17" t="n">
        <f aca="false">G35+SUM(X35:AG35)</f>
        <v>26212770.6940055</v>
      </c>
      <c r="AI35" s="17" t="n">
        <f aca="false">W35-AH35</f>
        <v>-10195460.2298636</v>
      </c>
      <c r="AJ35" s="17" t="n">
        <f aca="false">AJ34+AI35</f>
        <v>-181057467.006489</v>
      </c>
      <c r="AK35" s="17" t="n">
        <f aca="false">O35*Допущения!$F$58*Допущения!$F$59</f>
        <v>230587.539149517</v>
      </c>
      <c r="AL35" s="17" t="n">
        <f aca="false">T35*Допущения!$F$72</f>
        <v>685162.996932521</v>
      </c>
      <c r="AM35" s="17" t="n">
        <f aca="false">IF(MOD(A35,12)=0,INDEX($F$70:$F$74,B35),0)</f>
        <v>0</v>
      </c>
      <c r="AN35" s="17" t="n">
        <f aca="false">AI35-AM35</f>
        <v>-10195460.2298636</v>
      </c>
      <c r="AO35" s="26" t="n">
        <f aca="false">1/(1+Допущения!$F$74)^A35</f>
        <v>0.608275638554951</v>
      </c>
      <c r="AP35" s="21" t="str">
        <f aca="false">IF(AND(A35&gt;Допущения!$F$19,MIN(AI35:AI$65)&gt;0),A35,"")</f>
        <v/>
      </c>
      <c r="AQ35" s="21" t="str">
        <f aca="false">IF(MIN(AJ35:AJ$65)&gt;0,A35,"")</f>
        <v/>
      </c>
    </row>
    <row r="36" customFormat="false" ht="15" hidden="false" customHeight="false" outlineLevel="0" collapsed="false">
      <c r="A36" s="28" t="n">
        <v>31</v>
      </c>
      <c r="B36" s="28" t="n">
        <f aca="false">INT((A36-1)/12)+1</f>
        <v>3</v>
      </c>
      <c r="C36" s="12" t="s">
        <v>462</v>
      </c>
      <c r="D36" s="15" t="n">
        <f aca="false">(1+Допущения!$F$11)^(B36-1)</f>
        <v>1.1664</v>
      </c>
      <c r="E36" s="15" t="n">
        <f aca="false">(1+Допущения!$F$12)^(B36-1)</f>
        <v>1.1449</v>
      </c>
      <c r="F36" s="17" t="n">
        <f aca="false">Допущения!$F$71*E36</f>
        <v>2822.957032</v>
      </c>
      <c r="G36" s="17" t="n">
        <f aca="false">MIN(G35*(1+Допущения!$F$33),Допущения!$F$34)</f>
        <v>2500000</v>
      </c>
      <c r="H36" s="25" t="n">
        <f aca="false">MIN(Допущения!$F$30,G36/Допущения!$F$29)</f>
        <v>300</v>
      </c>
      <c r="I36" s="25" t="n">
        <f aca="false">MAX(0,G36-H36*Допущения!$F$29)/Допущения!$F$31</f>
        <v>341.666666666667</v>
      </c>
      <c r="J36" s="25" t="n">
        <f aca="false">IF(A36&gt;=Допущения!$F$35,Допущения!$F$36,0)</f>
        <v>40</v>
      </c>
      <c r="K36" s="25" t="n">
        <f aca="false">H36+I36+J36</f>
        <v>681.666666666667</v>
      </c>
      <c r="L36" s="25" t="n">
        <f aca="false">(L35-K35)*(1-Допущения!$F$44)+K35*(1-Допущения!$F$43)+K36</f>
        <v>6072.58153101876</v>
      </c>
      <c r="M36" s="25" t="n">
        <f aca="false">IF(A36&gt;=Допущения!$F$38,Допущения!$F$73/Допущения!$F$42*MIN(Допущения!$F$42,A36-Допущения!$F$38+1),0)</f>
        <v>60</v>
      </c>
      <c r="N36" s="25" t="n">
        <f aca="false">N35*(1-Допущения!$F$45)+M36</f>
        <v>1152.4076515599</v>
      </c>
      <c r="O36" s="25" t="n">
        <f aca="false">L36+N36</f>
        <v>7224.98918257867</v>
      </c>
      <c r="P36" s="25" t="n">
        <f aca="false">L36*Допущения!$F$25</f>
        <v>1821.77445930563</v>
      </c>
      <c r="Q36" s="25" t="n">
        <f aca="false">L36*(1-Допущения!$F$25)+N36</f>
        <v>5403.21472327304</v>
      </c>
      <c r="R36" s="17" t="n">
        <f aca="false">MAX(Допущения!$F$18,ROUNDUP(Q36/Допущения!$F$68+P36/Допущения!$F$69,0))</f>
        <v>105</v>
      </c>
      <c r="S36" s="17" t="n">
        <f aca="false">ROUNDUP(R36/Допущения!$F$48,0)</f>
        <v>11</v>
      </c>
      <c r="T36" s="17" t="n">
        <f aca="false">L36*F36/(1+Допущения!$F$6)</f>
        <v>14051341.5863793</v>
      </c>
      <c r="U36" s="17" t="n">
        <f aca="false">N36*Допущения!$F$28*E36/(1+Допущения!$F$6)</f>
        <v>1622202.68885771</v>
      </c>
      <c r="V36" s="17" t="n">
        <f aca="false">O36*Допущения!$F$26*Допущения!$F$27/(1+Допущения!$F$6)</f>
        <v>888318.342120328</v>
      </c>
      <c r="W36" s="17" t="n">
        <f aca="false">T36+U36+V36</f>
        <v>16561862.6173573</v>
      </c>
      <c r="X36" s="17" t="n">
        <f aca="false">J36*Допущения!$F$37</f>
        <v>20000</v>
      </c>
      <c r="Y36" s="17" t="n">
        <f aca="false">(R36*Допущения!$F$47+S36*Допущения!$F$49)*D36*Допущения!$F$9</f>
        <v>15725649.744</v>
      </c>
      <c r="Z36" s="17" t="n">
        <f aca="false">(MAX(0,R36-R35)+R36*Допущения!$F$50/12)*Допущения!$F$51*D36</f>
        <v>598873.5</v>
      </c>
      <c r="AA36" s="17" t="n">
        <f aca="false">O36*(Допущения!$F$53+Допущения!$F$54)+(L36*F36+N36*Допущения!$F$28*E36)*Допущения!$F$13</f>
        <v>3559311.21853171</v>
      </c>
      <c r="AB36" s="17" t="n">
        <f aca="false">(R36+S36)*Допущения!$F$52</f>
        <v>313200</v>
      </c>
      <c r="AC36" s="17" t="n">
        <f aca="false">SUMPRODUCT(Допущения!$B$84:$B$91,Допущения!$C$84:$C$91,--(Допущения!$D$84:$D$91&lt;=A36))*D36*Допущения!$F$9</f>
        <v>2293165.728</v>
      </c>
      <c r="AD36" s="17" t="n">
        <f aca="false">(AC36+Y36)*Допущения!$F$14</f>
        <v>1801881.5472</v>
      </c>
      <c r="AE36" s="17" t="n">
        <f aca="false">Допущения!$F$55+Допущения!$F$56*O36/1000+Допущения!$F$57</f>
        <v>197799.913460629</v>
      </c>
      <c r="AF36" s="17" t="n">
        <f aca="false">SUMIF(Допущения!$B$95:$B$103,A36,Допущения!$C$95:$C$103)</f>
        <v>0</v>
      </c>
      <c r="AG36" s="17" t="n">
        <v>0</v>
      </c>
      <c r="AH36" s="17" t="n">
        <f aca="false">G36+SUM(X36:AG36)</f>
        <v>27009881.6511923</v>
      </c>
      <c r="AI36" s="17" t="n">
        <f aca="false">W36-AH36</f>
        <v>-10448019.033835</v>
      </c>
      <c r="AJ36" s="17" t="n">
        <f aca="false">AJ35+AI36</f>
        <v>-191505486.040324</v>
      </c>
      <c r="AK36" s="17" t="n">
        <f aca="false">O36*Допущения!$F$58*Допущения!$F$59</f>
        <v>238424.643025096</v>
      </c>
      <c r="AL36" s="17" t="n">
        <f aca="false">T36*Допущения!$F$72</f>
        <v>708471.004355259</v>
      </c>
      <c r="AM36" s="17" t="n">
        <f aca="false">IF(MOD(A36,12)=0,INDEX($F$70:$F$74,B36),0)</f>
        <v>0</v>
      </c>
      <c r="AN36" s="17" t="n">
        <f aca="false">AI36-AM36</f>
        <v>-10448019.033835</v>
      </c>
      <c r="AO36" s="26" t="n">
        <f aca="false">1/(1+Допущения!$F$74)^A36</f>
        <v>0.598279016089068</v>
      </c>
      <c r="AP36" s="21" t="str">
        <f aca="false">IF(AND(A36&gt;Допущения!$F$19,MIN(AI36:AI$65)&gt;0),A36,"")</f>
        <v/>
      </c>
      <c r="AQ36" s="21" t="str">
        <f aca="false">IF(MIN(AJ36:AJ$65)&gt;0,A36,"")</f>
        <v/>
      </c>
    </row>
    <row r="37" customFormat="false" ht="15" hidden="false" customHeight="false" outlineLevel="0" collapsed="false">
      <c r="A37" s="28" t="n">
        <v>32</v>
      </c>
      <c r="B37" s="28" t="n">
        <f aca="false">INT((A37-1)/12)+1</f>
        <v>3</v>
      </c>
      <c r="C37" s="12" t="s">
        <v>462</v>
      </c>
      <c r="D37" s="15" t="n">
        <f aca="false">(1+Допущения!$F$11)^(B37-1)</f>
        <v>1.1664</v>
      </c>
      <c r="E37" s="15" t="n">
        <f aca="false">(1+Допущения!$F$12)^(B37-1)</f>
        <v>1.1449</v>
      </c>
      <c r="F37" s="17" t="n">
        <f aca="false">Допущения!$F$71*E37</f>
        <v>2822.957032</v>
      </c>
      <c r="G37" s="17" t="n">
        <f aca="false">MIN(G36*(1+Допущения!$F$33),Допущения!$F$34)</f>
        <v>2500000</v>
      </c>
      <c r="H37" s="25" t="n">
        <f aca="false">MIN(Допущения!$F$30,G37/Допущения!$F$29)</f>
        <v>300</v>
      </c>
      <c r="I37" s="25" t="n">
        <f aca="false">MAX(0,G37-H37*Допущения!$F$29)/Допущения!$F$31</f>
        <v>341.666666666667</v>
      </c>
      <c r="J37" s="25" t="n">
        <f aca="false">IF(A37&gt;=Допущения!$F$35,Допущения!$F$36,0)</f>
        <v>40</v>
      </c>
      <c r="K37" s="25" t="n">
        <f aca="false">H37+I37+J37</f>
        <v>681.666666666667</v>
      </c>
      <c r="L37" s="25" t="n">
        <f aca="false">(L36-K36)*(1-Допущения!$F$44)+K36*(1-Допущения!$F$43)+K37</f>
        <v>6260.37663915764</v>
      </c>
      <c r="M37" s="25" t="n">
        <f aca="false">IF(A37&gt;=Допущения!$F$38,Допущения!$F$73/Допущения!$F$42*MIN(Допущения!$F$42,A37-Допущения!$F$38+1),0)</f>
        <v>60</v>
      </c>
      <c r="N37" s="25" t="n">
        <f aca="false">N36*(1-Допущения!$F$45)+M37</f>
        <v>1189.35949852871</v>
      </c>
      <c r="O37" s="25" t="n">
        <f aca="false">L37+N37</f>
        <v>7449.73613768634</v>
      </c>
      <c r="P37" s="25" t="n">
        <f aca="false">L37*Допущения!$F$25</f>
        <v>1878.11299174729</v>
      </c>
      <c r="Q37" s="25" t="n">
        <f aca="false">L37*(1-Допущения!$F$25)+N37</f>
        <v>5571.62314593905</v>
      </c>
      <c r="R37" s="17" t="n">
        <f aca="false">MAX(Допущения!$F$18,ROUNDUP(Q37/Допущения!$F$68+P37/Допущения!$F$69,0))</f>
        <v>108</v>
      </c>
      <c r="S37" s="17" t="n">
        <f aca="false">ROUNDUP(R37/Допущения!$F$48,0)</f>
        <v>11</v>
      </c>
      <c r="T37" s="17" t="n">
        <f aca="false">L37*F37/(1+Допущения!$F$6)</f>
        <v>14485880.5380972</v>
      </c>
      <c r="U37" s="17" t="n">
        <f aca="false">N37*Допущения!$F$28*E37/(1+Допущения!$F$6)</f>
        <v>1674218.47114612</v>
      </c>
      <c r="V37" s="17" t="n">
        <f aca="false">O37*Допущения!$F$26*Допущения!$F$27/(1+Допущения!$F$6)</f>
        <v>915951.164469632</v>
      </c>
      <c r="W37" s="17" t="n">
        <f aca="false">T37+U37+V37</f>
        <v>17076050.173713</v>
      </c>
      <c r="X37" s="17" t="n">
        <f aca="false">J37*Допущения!$F$37</f>
        <v>20000</v>
      </c>
      <c r="Y37" s="17" t="n">
        <f aca="false">(R37*Допущения!$F$47+S37*Допущения!$F$49)*D37*Допущения!$F$9</f>
        <v>16112906.208</v>
      </c>
      <c r="Z37" s="17" t="n">
        <f aca="false">(MAX(0,R37-R36)+R37*Допущения!$F$50/12)*Допущения!$F$51*D37</f>
        <v>515257.2</v>
      </c>
      <c r="AA37" s="17" t="n">
        <f aca="false">O37*(Допущения!$F$53+Допущения!$F$54)+(L37*F37+N37*Допущения!$F$28*E37)*Допущения!$F$13</f>
        <v>3670008.35551341</v>
      </c>
      <c r="AB37" s="17" t="n">
        <f aca="false">(R37+S37)*Допущения!$F$52</f>
        <v>321300</v>
      </c>
      <c r="AC37" s="17" t="n">
        <f aca="false">SUMPRODUCT(Допущения!$B$84:$B$91,Допущения!$C$84:$C$91,--(Допущения!$D$84:$D$91&lt;=A37))*D37*Допущения!$F$9</f>
        <v>2293165.728</v>
      </c>
      <c r="AD37" s="17" t="n">
        <f aca="false">(AC37+Y37)*Допущения!$F$14</f>
        <v>1840607.1936</v>
      </c>
      <c r="AE37" s="17" t="n">
        <f aca="false">Допущения!$F$55+Допущения!$F$56*O37/1000+Допущения!$F$57</f>
        <v>199597.889101491</v>
      </c>
      <c r="AF37" s="17" t="n">
        <f aca="false">SUMIF(Допущения!$B$95:$B$103,A37,Допущения!$C$95:$C$103)</f>
        <v>0</v>
      </c>
      <c r="AG37" s="17" t="n">
        <v>0</v>
      </c>
      <c r="AH37" s="17" t="n">
        <f aca="false">G37+SUM(X37:AG37)</f>
        <v>27472842.5742149</v>
      </c>
      <c r="AI37" s="17" t="n">
        <f aca="false">W37-AH37</f>
        <v>-10396792.4005019</v>
      </c>
      <c r="AJ37" s="17" t="n">
        <f aca="false">AJ36+AI37</f>
        <v>-201902278.440826</v>
      </c>
      <c r="AK37" s="17" t="n">
        <f aca="false">O37*Допущения!$F$58*Допущения!$F$59</f>
        <v>245841.292543649</v>
      </c>
      <c r="AL37" s="17" t="n">
        <f aca="false">T37*Допущения!$F$72</f>
        <v>730380.531332632</v>
      </c>
      <c r="AM37" s="17" t="n">
        <f aca="false">IF(MOD(A37,12)=0,INDEX($F$70:$F$74,B37),0)</f>
        <v>0</v>
      </c>
      <c r="AN37" s="17" t="n">
        <f aca="false">AI37-AM37</f>
        <v>-10396792.4005019</v>
      </c>
      <c r="AO37" s="26" t="n">
        <f aca="false">1/(1+Допущения!$F$74)^A37</f>
        <v>0.588446681742569</v>
      </c>
      <c r="AP37" s="21" t="str">
        <f aca="false">IF(AND(A37&gt;Допущения!$F$19,MIN(AI37:AI$65)&gt;0),A37,"")</f>
        <v/>
      </c>
      <c r="AQ37" s="21" t="str">
        <f aca="false">IF(MIN(AJ37:AJ$65)&gt;0,A37,"")</f>
        <v/>
      </c>
    </row>
    <row r="38" customFormat="false" ht="15" hidden="false" customHeight="false" outlineLevel="0" collapsed="false">
      <c r="A38" s="28" t="n">
        <v>33</v>
      </c>
      <c r="B38" s="28" t="n">
        <f aca="false">INT((A38-1)/12)+1</f>
        <v>3</v>
      </c>
      <c r="C38" s="12" t="s">
        <v>462</v>
      </c>
      <c r="D38" s="15" t="n">
        <f aca="false">(1+Допущения!$F$11)^(B38-1)</f>
        <v>1.1664</v>
      </c>
      <c r="E38" s="15" t="n">
        <f aca="false">(1+Допущения!$F$12)^(B38-1)</f>
        <v>1.1449</v>
      </c>
      <c r="F38" s="17" t="n">
        <f aca="false">Допущения!$F$71*E38</f>
        <v>2822.957032</v>
      </c>
      <c r="G38" s="17" t="n">
        <f aca="false">MIN(G37*(1+Допущения!$F$33),Допущения!$F$34)</f>
        <v>2500000</v>
      </c>
      <c r="H38" s="25" t="n">
        <f aca="false">MIN(Допущения!$F$30,G38/Допущения!$F$29)</f>
        <v>300</v>
      </c>
      <c r="I38" s="25" t="n">
        <f aca="false">MAX(0,G38-H38*Допущения!$F$29)/Допущения!$F$31</f>
        <v>341.666666666667</v>
      </c>
      <c r="J38" s="25" t="n">
        <f aca="false">IF(A38&gt;=Допущения!$F$35,Допущения!$F$36,0)</f>
        <v>40</v>
      </c>
      <c r="K38" s="25" t="n">
        <f aca="false">H38+I38+J38</f>
        <v>681.666666666667</v>
      </c>
      <c r="L38" s="25" t="n">
        <f aca="false">(L37-K37)*(1-Допущения!$F$44)+K37*(1-Допущения!$F$43)+K38</f>
        <v>6436.90404080818</v>
      </c>
      <c r="M38" s="25" t="n">
        <f aca="false">IF(A38&gt;=Допущения!$F$38,Допущения!$F$73/Допущения!$F$42*MIN(Допущения!$F$42,A38-Допущения!$F$38+1),0)</f>
        <v>60</v>
      </c>
      <c r="N38" s="25" t="n">
        <f aca="false">N37*(1-Допущения!$F$45)+M38</f>
        <v>1225.57230855813</v>
      </c>
      <c r="O38" s="25" t="n">
        <f aca="false">L38+N38</f>
        <v>7662.47634936631</v>
      </c>
      <c r="P38" s="25" t="n">
        <f aca="false">L38*Допущения!$F$25</f>
        <v>1931.07121224245</v>
      </c>
      <c r="Q38" s="25" t="n">
        <f aca="false">L38*(1-Допущения!$F$25)+N38</f>
        <v>5731.40513712386</v>
      </c>
      <c r="R38" s="17" t="n">
        <f aca="false">MAX(Допущения!$F$18,ROUNDUP(Q38/Допущения!$F$68+P38/Допущения!$F$69,0))</f>
        <v>111</v>
      </c>
      <c r="S38" s="17" t="n">
        <f aca="false">ROUNDUP(R38/Допущения!$F$48,0)</f>
        <v>12</v>
      </c>
      <c r="T38" s="17" t="n">
        <f aca="false">L38*F38/(1+Допущения!$F$6)</f>
        <v>14894347.152712</v>
      </c>
      <c r="U38" s="17" t="n">
        <f aca="false">N38*Допущения!$F$28*E38/(1+Допущения!$F$6)</f>
        <v>1725193.93778878</v>
      </c>
      <c r="V38" s="17" t="n">
        <f aca="false">O38*Допущения!$F$26*Допущения!$F$27/(1+Допущения!$F$6)</f>
        <v>942107.747872907</v>
      </c>
      <c r="W38" s="17" t="n">
        <f aca="false">T38+U38+V38</f>
        <v>17561648.8383737</v>
      </c>
      <c r="X38" s="17" t="n">
        <f aca="false">J38*Допущения!$F$37</f>
        <v>20000</v>
      </c>
      <c r="Y38" s="17" t="n">
        <f aca="false">(R38*Допущения!$F$47+S38*Допущения!$F$49)*D38*Допущения!$F$9</f>
        <v>16697587.536</v>
      </c>
      <c r="Z38" s="17" t="n">
        <f aca="false">(MAX(0,R38-R37)+R38*Допущения!$F$50/12)*Допущения!$F$51*D38</f>
        <v>522036.9</v>
      </c>
      <c r="AA38" s="17" t="n">
        <f aca="false">O38*(Допущения!$F$53+Допущения!$F$54)+(L38*F38+N38*Допущения!$F$28*E38)*Допущения!$F$13</f>
        <v>3774767.0978154</v>
      </c>
      <c r="AB38" s="17" t="n">
        <f aca="false">(R38+S38)*Допущения!$F$52</f>
        <v>332100</v>
      </c>
      <c r="AC38" s="17" t="n">
        <f aca="false">SUMPRODUCT(Допущения!$B$84:$B$91,Допущения!$C$84:$C$91,--(Допущения!$D$84:$D$91&lt;=A38))*D38*Допущения!$F$9</f>
        <v>2293165.728</v>
      </c>
      <c r="AD38" s="17" t="n">
        <f aca="false">(AC38+Y38)*Допущения!$F$14</f>
        <v>1899075.3264</v>
      </c>
      <c r="AE38" s="17" t="n">
        <f aca="false">Допущения!$F$55+Допущения!$F$56*O38/1000+Допущения!$F$57</f>
        <v>201299.81079493</v>
      </c>
      <c r="AF38" s="17" t="n">
        <f aca="false">SUMIF(Допущения!$B$95:$B$103,A38,Допущения!$C$95:$C$103)</f>
        <v>0</v>
      </c>
      <c r="AG38" s="17" t="n">
        <v>0</v>
      </c>
      <c r="AH38" s="17" t="n">
        <f aca="false">G38+SUM(X38:AG38)</f>
        <v>28240032.3990103</v>
      </c>
      <c r="AI38" s="17" t="n">
        <f aca="false">W38-AH38</f>
        <v>-10678383.5606366</v>
      </c>
      <c r="AJ38" s="17" t="n">
        <f aca="false">AJ37+AI38</f>
        <v>-212580662.001463</v>
      </c>
      <c r="AK38" s="17" t="n">
        <f aca="false">O38*Допущения!$F$58*Допущения!$F$59</f>
        <v>252861.719529088</v>
      </c>
      <c r="AL38" s="17" t="n">
        <f aca="false">T38*Допущения!$F$72</f>
        <v>750975.486691362</v>
      </c>
      <c r="AM38" s="17" t="n">
        <f aca="false">IF(MOD(A38,12)=0,INDEX($F$70:$F$74,B38),0)</f>
        <v>0</v>
      </c>
      <c r="AN38" s="17" t="n">
        <f aca="false">AI38-AM38</f>
        <v>-10678383.5606366</v>
      </c>
      <c r="AO38" s="26" t="n">
        <f aca="false">1/(1+Допущения!$F$74)^A38</f>
        <v>0.578775935544913</v>
      </c>
      <c r="AP38" s="21" t="str">
        <f aca="false">IF(AND(A38&gt;Допущения!$F$19,MIN(AI38:AI$65)&gt;0),A38,"")</f>
        <v/>
      </c>
      <c r="AQ38" s="21" t="str">
        <f aca="false">IF(MIN(AJ38:AJ$65)&gt;0,A38,"")</f>
        <v/>
      </c>
    </row>
    <row r="39" customFormat="false" ht="15" hidden="false" customHeight="false" outlineLevel="0" collapsed="false">
      <c r="A39" s="28" t="n">
        <v>34</v>
      </c>
      <c r="B39" s="28" t="n">
        <f aca="false">INT((A39-1)/12)+1</f>
        <v>3</v>
      </c>
      <c r="C39" s="12" t="s">
        <v>462</v>
      </c>
      <c r="D39" s="15" t="n">
        <f aca="false">(1+Допущения!$F$11)^(B39-1)</f>
        <v>1.1664</v>
      </c>
      <c r="E39" s="15" t="n">
        <f aca="false">(1+Допущения!$F$12)^(B39-1)</f>
        <v>1.1449</v>
      </c>
      <c r="F39" s="17" t="n">
        <f aca="false">Допущения!$F$71*E39</f>
        <v>2822.957032</v>
      </c>
      <c r="G39" s="17" t="n">
        <f aca="false">MIN(G38*(1+Допущения!$F$33),Допущения!$F$34)</f>
        <v>2500000</v>
      </c>
      <c r="H39" s="25" t="n">
        <f aca="false">MIN(Допущения!$F$30,G39/Допущения!$F$29)</f>
        <v>300</v>
      </c>
      <c r="I39" s="25" t="n">
        <f aca="false">MAX(0,G39-H39*Допущения!$F$29)/Допущения!$F$31</f>
        <v>341.666666666667</v>
      </c>
      <c r="J39" s="25" t="n">
        <f aca="false">IF(A39&gt;=Допущения!$F$35,Допущения!$F$36,0)</f>
        <v>40</v>
      </c>
      <c r="K39" s="25" t="n">
        <f aca="false">H39+I39+J39</f>
        <v>681.666666666667</v>
      </c>
      <c r="L39" s="25" t="n">
        <f aca="false">(L38-K38)*(1-Допущения!$F$44)+K38*(1-Допущения!$F$43)+K39</f>
        <v>6602.83979835969</v>
      </c>
      <c r="M39" s="25" t="n">
        <f aca="false">IF(A39&gt;=Допущения!$F$38,Допущения!$F$73/Допущения!$F$42*MIN(Допущения!$F$42,A39-Допущения!$F$38+1),0)</f>
        <v>60</v>
      </c>
      <c r="N39" s="25" t="n">
        <f aca="false">N38*(1-Допущения!$F$45)+M39</f>
        <v>1261.06086238697</v>
      </c>
      <c r="O39" s="25" t="n">
        <f aca="false">L39+N39</f>
        <v>7863.90066074665</v>
      </c>
      <c r="P39" s="25" t="n">
        <f aca="false">L39*Допущения!$F$25</f>
        <v>1980.85193950791</v>
      </c>
      <c r="Q39" s="25" t="n">
        <f aca="false">L39*(1-Допущения!$F$25)+N39</f>
        <v>5883.04872123875</v>
      </c>
      <c r="R39" s="17" t="n">
        <f aca="false">MAX(Допущения!$F$18,ROUNDUP(Q39/Допущения!$F$68+P39/Допущения!$F$69,0))</f>
        <v>114</v>
      </c>
      <c r="S39" s="17" t="n">
        <f aca="false">ROUNDUP(R39/Допущения!$F$48,0)</f>
        <v>12</v>
      </c>
      <c r="T39" s="17" t="n">
        <f aca="false">L39*F39/(1+Допущения!$F$6)</f>
        <v>15278305.7704499</v>
      </c>
      <c r="U39" s="17" t="n">
        <f aca="false">N39*Допущения!$F$28*E39/(1+Допущения!$F$6)</f>
        <v>1775149.89509857</v>
      </c>
      <c r="V39" s="17" t="n">
        <f aca="false">O39*Допущения!$F$26*Допущения!$F$27/(1+Допущения!$F$6)</f>
        <v>966873.032059015</v>
      </c>
      <c r="W39" s="17" t="n">
        <f aca="false">T39+U39+V39</f>
        <v>18020328.6976075</v>
      </c>
      <c r="X39" s="17" t="n">
        <f aca="false">J39*Допущения!$F$37</f>
        <v>20000</v>
      </c>
      <c r="Y39" s="17" t="n">
        <f aca="false">(R39*Допущения!$F$47+S39*Допущения!$F$49)*D39*Допущения!$F$9</f>
        <v>17084844</v>
      </c>
      <c r="Z39" s="17" t="n">
        <f aca="false">(MAX(0,R39-R38)+R39*Допущения!$F$50/12)*Допущения!$F$51*D39</f>
        <v>528816.6</v>
      </c>
      <c r="AA39" s="17" t="n">
        <f aca="false">O39*(Допущения!$F$53+Допущения!$F$54)+(L39*F39+N39*Допущения!$F$28*E39)*Допущения!$F$13</f>
        <v>3873929.68044771</v>
      </c>
      <c r="AB39" s="17" t="n">
        <f aca="false">(R39+S39)*Допущения!$F$52</f>
        <v>340200</v>
      </c>
      <c r="AC39" s="17" t="n">
        <f aca="false">SUMPRODUCT(Допущения!$B$84:$B$91,Допущения!$C$84:$C$91,--(Допущения!$D$84:$D$91&lt;=A39))*D39*Допущения!$F$9</f>
        <v>2293165.728</v>
      </c>
      <c r="AD39" s="17" t="n">
        <f aca="false">(AC39+Y39)*Допущения!$F$14</f>
        <v>1937800.9728</v>
      </c>
      <c r="AE39" s="17" t="n">
        <f aca="false">Допущения!$F$55+Допущения!$F$56*O39/1000+Допущения!$F$57</f>
        <v>202911.205285973</v>
      </c>
      <c r="AF39" s="17" t="n">
        <f aca="false">SUMIF(Допущения!$B$95:$B$103,A39,Допущения!$C$95:$C$103)</f>
        <v>0</v>
      </c>
      <c r="AG39" s="17" t="n">
        <v>0</v>
      </c>
      <c r="AH39" s="17" t="n">
        <f aca="false">G39+SUM(X39:AG39)</f>
        <v>28781668.1865337</v>
      </c>
      <c r="AI39" s="17" t="n">
        <f aca="false">W39-AH39</f>
        <v>-10761339.4889262</v>
      </c>
      <c r="AJ39" s="17" t="n">
        <f aca="false">AJ38+AI39</f>
        <v>-223342001.490389</v>
      </c>
      <c r="AK39" s="17" t="n">
        <f aca="false">O39*Допущения!$F$58*Допущения!$F$59</f>
        <v>259508.72180464</v>
      </c>
      <c r="AL39" s="17" t="n">
        <f aca="false">T39*Допущения!$F$72</f>
        <v>770334.744728569</v>
      </c>
      <c r="AM39" s="17" t="n">
        <f aca="false">IF(MOD(A39,12)=0,INDEX($F$70:$F$74,B39),0)</f>
        <v>0</v>
      </c>
      <c r="AN39" s="17" t="n">
        <f aca="false">AI39-AM39</f>
        <v>-10761339.4889262</v>
      </c>
      <c r="AO39" s="26" t="n">
        <f aca="false">1/(1+Допущения!$F$74)^A39</f>
        <v>0.569264121897854</v>
      </c>
      <c r="AP39" s="21" t="str">
        <f aca="false">IF(AND(A39&gt;Допущения!$F$19,MIN(AI39:AI$65)&gt;0),A39,"")</f>
        <v/>
      </c>
      <c r="AQ39" s="21" t="str">
        <f aca="false">IF(MIN(AJ39:AJ$65)&gt;0,A39,"")</f>
        <v/>
      </c>
    </row>
    <row r="40" customFormat="false" ht="15" hidden="false" customHeight="false" outlineLevel="0" collapsed="false">
      <c r="A40" s="28" t="n">
        <v>35</v>
      </c>
      <c r="B40" s="28" t="n">
        <f aca="false">INT((A40-1)/12)+1</f>
        <v>3</v>
      </c>
      <c r="C40" s="12" t="s">
        <v>462</v>
      </c>
      <c r="D40" s="15" t="n">
        <f aca="false">(1+Допущения!$F$11)^(B40-1)</f>
        <v>1.1664</v>
      </c>
      <c r="E40" s="15" t="n">
        <f aca="false">(1+Допущения!$F$12)^(B40-1)</f>
        <v>1.1449</v>
      </c>
      <c r="F40" s="17" t="n">
        <f aca="false">Допущения!$F$71*E40</f>
        <v>2822.957032</v>
      </c>
      <c r="G40" s="17" t="n">
        <f aca="false">MIN(G39*(1+Допущения!$F$33),Допущения!$F$34)</f>
        <v>2500000</v>
      </c>
      <c r="H40" s="25" t="n">
        <f aca="false">MIN(Допущения!$F$30,G40/Допущения!$F$29)</f>
        <v>300</v>
      </c>
      <c r="I40" s="25" t="n">
        <f aca="false">MAX(0,G40-H40*Допущения!$F$29)/Допущения!$F$31</f>
        <v>341.666666666667</v>
      </c>
      <c r="J40" s="25" t="n">
        <f aca="false">IF(A40&gt;=Допущения!$F$35,Допущения!$F$36,0)</f>
        <v>40</v>
      </c>
      <c r="K40" s="25" t="n">
        <f aca="false">H40+I40+J40</f>
        <v>681.666666666667</v>
      </c>
      <c r="L40" s="25" t="n">
        <f aca="false">(L39-K39)*(1-Допущения!$F$44)+K39*(1-Допущения!$F$43)+K40</f>
        <v>6758.8194104581</v>
      </c>
      <c r="M40" s="25" t="n">
        <f aca="false">IF(A40&gt;=Допущения!$F$38,Допущения!$F$73/Допущения!$F$42*MIN(Допущения!$F$42,A40-Допущения!$F$38+1),0)</f>
        <v>60</v>
      </c>
      <c r="N40" s="25" t="n">
        <f aca="false">N39*(1-Допущения!$F$45)+M40</f>
        <v>1295.83964513923</v>
      </c>
      <c r="O40" s="25" t="n">
        <f aca="false">L40+N40</f>
        <v>8054.65905559733</v>
      </c>
      <c r="P40" s="25" t="n">
        <f aca="false">L40*Допущения!$F$25</f>
        <v>2027.64582313743</v>
      </c>
      <c r="Q40" s="25" t="n">
        <f aca="false">L40*(1-Допущения!$F$25)+N40</f>
        <v>6027.0132324599</v>
      </c>
      <c r="R40" s="17" t="n">
        <f aca="false">MAX(Допущения!$F$18,ROUNDUP(Q40/Допущения!$F$68+P40/Допущения!$F$69,0))</f>
        <v>117</v>
      </c>
      <c r="S40" s="17" t="n">
        <f aca="false">ROUNDUP(R40/Допущения!$F$48,0)</f>
        <v>12</v>
      </c>
      <c r="T40" s="17" t="n">
        <f aca="false">L40*F40/(1+Допущения!$F$6)</f>
        <v>15639226.8711236</v>
      </c>
      <c r="U40" s="17" t="n">
        <f aca="false">N40*Допущения!$F$28*E40/(1+Допущения!$F$6)</f>
        <v>1824106.73326218</v>
      </c>
      <c r="V40" s="17" t="n">
        <f aca="false">O40*Допущения!$F$26*Допущения!$F$27/(1+Допущения!$F$6)</f>
        <v>990326.933065246</v>
      </c>
      <c r="W40" s="17" t="n">
        <f aca="false">T40+U40+V40</f>
        <v>18453660.537451</v>
      </c>
      <c r="X40" s="17" t="n">
        <f aca="false">J40*Допущения!$F$37</f>
        <v>20000</v>
      </c>
      <c r="Y40" s="17" t="n">
        <f aca="false">(R40*Допущения!$F$47+S40*Допущения!$F$49)*D40*Допущения!$F$9</f>
        <v>17472100.464</v>
      </c>
      <c r="Z40" s="17" t="n">
        <f aca="false">(MAX(0,R40-R39)+R40*Допущения!$F$50/12)*Допущения!$F$51*D40</f>
        <v>535596.3</v>
      </c>
      <c r="AA40" s="17" t="n">
        <f aca="false">O40*(Допущения!$F$53+Допущения!$F$54)+(L40*F40+N40*Допущения!$F$28*E40)*Допущения!$F$13</f>
        <v>3967818.08569312</v>
      </c>
      <c r="AB40" s="17" t="n">
        <f aca="false">(R40+S40)*Допущения!$F$52</f>
        <v>348300</v>
      </c>
      <c r="AC40" s="17" t="n">
        <f aca="false">SUMPRODUCT(Допущения!$B$84:$B$91,Допущения!$C$84:$C$91,--(Допущения!$D$84:$D$91&lt;=A40))*D40*Допущения!$F$9</f>
        <v>2293165.728</v>
      </c>
      <c r="AD40" s="17" t="n">
        <f aca="false">(AC40+Y40)*Допущения!$F$14</f>
        <v>1976526.6192</v>
      </c>
      <c r="AE40" s="17" t="n">
        <f aca="false">Допущения!$F$55+Допущения!$F$56*O40/1000+Допущения!$F$57</f>
        <v>204437.272444779</v>
      </c>
      <c r="AF40" s="17" t="n">
        <f aca="false">SUMIF(Допущения!$B$95:$B$103,A40,Допущения!$C$95:$C$103)</f>
        <v>0</v>
      </c>
      <c r="AG40" s="17" t="n">
        <v>0</v>
      </c>
      <c r="AH40" s="17" t="n">
        <f aca="false">G40+SUM(X40:AG40)</f>
        <v>29317944.4693379</v>
      </c>
      <c r="AI40" s="17" t="n">
        <f aca="false">W40-AH40</f>
        <v>-10864283.9318869</v>
      </c>
      <c r="AJ40" s="17" t="n">
        <f aca="false">AJ39+AI40</f>
        <v>-234206285.422276</v>
      </c>
      <c r="AK40" s="17" t="n">
        <f aca="false">O40*Допущения!$F$58*Допущения!$F$59</f>
        <v>265803.748834712</v>
      </c>
      <c r="AL40" s="17" t="n">
        <f aca="false">T40*Допущения!$F$72</f>
        <v>788532.447283543</v>
      </c>
      <c r="AM40" s="17" t="n">
        <f aca="false">IF(MOD(A40,12)=0,INDEX($F$70:$F$74,B40),0)</f>
        <v>0</v>
      </c>
      <c r="AN40" s="17" t="n">
        <f aca="false">AI40-AM40</f>
        <v>-10864283.9318869</v>
      </c>
      <c r="AO40" s="26" t="n">
        <f aca="false">1/(1+Допущения!$F$74)^A40</f>
        <v>0.55990862884621</v>
      </c>
      <c r="AP40" s="21" t="str">
        <f aca="false">IF(AND(A40&gt;Допущения!$F$19,MIN(AI40:AI$65)&gt;0),A40,"")</f>
        <v/>
      </c>
      <c r="AQ40" s="21" t="str">
        <f aca="false">IF(MIN(AJ40:AJ$65)&gt;0,A40,"")</f>
        <v/>
      </c>
    </row>
    <row r="41" customFormat="false" ht="15" hidden="false" customHeight="false" outlineLevel="0" collapsed="false">
      <c r="A41" s="28" t="n">
        <v>36</v>
      </c>
      <c r="B41" s="28" t="n">
        <f aca="false">INT((A41-1)/12)+1</f>
        <v>3</v>
      </c>
      <c r="C41" s="12" t="s">
        <v>462</v>
      </c>
      <c r="D41" s="15" t="n">
        <f aca="false">(1+Допущения!$F$11)^(B41-1)</f>
        <v>1.1664</v>
      </c>
      <c r="E41" s="15" t="n">
        <f aca="false">(1+Допущения!$F$12)^(B41-1)</f>
        <v>1.1449</v>
      </c>
      <c r="F41" s="17" t="n">
        <f aca="false">Допущения!$F$71*E41</f>
        <v>2822.957032</v>
      </c>
      <c r="G41" s="17" t="n">
        <f aca="false">MIN(G40*(1+Допущения!$F$33),Допущения!$F$34)</f>
        <v>2500000</v>
      </c>
      <c r="H41" s="25" t="n">
        <f aca="false">MIN(Допущения!$F$30,G41/Допущения!$F$29)</f>
        <v>300</v>
      </c>
      <c r="I41" s="25" t="n">
        <f aca="false">MAX(0,G41-H41*Допущения!$F$29)/Допущения!$F$31</f>
        <v>341.666666666667</v>
      </c>
      <c r="J41" s="25" t="n">
        <f aca="false">IF(A41&gt;=Допущения!$F$35,Допущения!$F$36,0)</f>
        <v>40</v>
      </c>
      <c r="K41" s="25" t="n">
        <f aca="false">H41+I41+J41</f>
        <v>681.666666666667</v>
      </c>
      <c r="L41" s="25" t="n">
        <f aca="false">(L40-K40)*(1-Допущения!$F$44)+K40*(1-Допущения!$F$43)+K41</f>
        <v>6905.44024583062</v>
      </c>
      <c r="M41" s="25" t="n">
        <f aca="false">IF(A41&gt;=Допущения!$F$38,Допущения!$F$73/Допущения!$F$42*MIN(Допущения!$F$42,A41-Допущения!$F$38+1),0)</f>
        <v>60</v>
      </c>
      <c r="N41" s="25" t="n">
        <f aca="false">N40*(1-Допущения!$F$45)+M41</f>
        <v>1329.92285223644</v>
      </c>
      <c r="O41" s="25" t="n">
        <f aca="false">L41+N41</f>
        <v>8235.36309806706</v>
      </c>
      <c r="P41" s="25" t="n">
        <f aca="false">L41*Допущения!$F$25</f>
        <v>2071.63207374919</v>
      </c>
      <c r="Q41" s="25" t="n">
        <f aca="false">L41*(1-Допущения!$F$25)+N41</f>
        <v>6163.73102431788</v>
      </c>
      <c r="R41" s="17" t="n">
        <f aca="false">MAX(Допущения!$F$18,ROUNDUP(Q41/Допущения!$F$68+P41/Допущения!$F$69,0))</f>
        <v>119</v>
      </c>
      <c r="S41" s="17" t="n">
        <f aca="false">ROUNDUP(R41/Допущения!$F$48,0)</f>
        <v>12</v>
      </c>
      <c r="T41" s="17" t="n">
        <f aca="false">L41*F41/(1+Допущения!$F$6)</f>
        <v>15978492.7057568</v>
      </c>
      <c r="U41" s="17" t="n">
        <f aca="false">N41*Допущения!$F$28*E41/(1+Допущения!$F$6)</f>
        <v>1872084.43466251</v>
      </c>
      <c r="V41" s="17" t="n">
        <f aca="false">O41*Допущения!$F$26*Допущения!$F$27/(1+Допущения!$F$6)</f>
        <v>1012544.64320497</v>
      </c>
      <c r="W41" s="17" t="n">
        <f aca="false">T41+U41+V41</f>
        <v>18863121.7836243</v>
      </c>
      <c r="X41" s="17" t="n">
        <f aca="false">J41*Допущения!$F$37</f>
        <v>20000</v>
      </c>
      <c r="Y41" s="17" t="n">
        <f aca="false">(R41*Допущения!$F$47+S41*Допущения!$F$49)*D41*Допущения!$F$9</f>
        <v>17730271.44</v>
      </c>
      <c r="Z41" s="17" t="n">
        <f aca="false">(MAX(0,R41-R40)+R41*Допущения!$F$50/12)*Допущения!$F$51*D41</f>
        <v>449720.1</v>
      </c>
      <c r="AA41" s="17" t="n">
        <f aca="false">O41*(Допущения!$F$53+Допущения!$F$54)+(L41*F41+N41*Допущения!$F$28*E41)*Допущения!$F$13</f>
        <v>4056735.25264345</v>
      </c>
      <c r="AB41" s="17" t="n">
        <f aca="false">(R41+S41)*Допущения!$F$52</f>
        <v>353700</v>
      </c>
      <c r="AC41" s="17" t="n">
        <f aca="false">SUMPRODUCT(Допущения!$B$84:$B$91,Допущения!$C$84:$C$91,--(Допущения!$D$84:$D$91&lt;=A41))*D41*Допущения!$F$9</f>
        <v>2293165.728</v>
      </c>
      <c r="AD41" s="17" t="n">
        <f aca="false">(AC41+Y41)*Допущения!$F$14</f>
        <v>2002343.7168</v>
      </c>
      <c r="AE41" s="17" t="n">
        <f aca="false">Допущения!$F$55+Допущения!$F$56*O41/1000+Допущения!$F$57</f>
        <v>205882.904784537</v>
      </c>
      <c r="AF41" s="17" t="n">
        <f aca="false">SUMIF(Допущения!$B$95:$B$103,A41,Допущения!$C$95:$C$103)</f>
        <v>0</v>
      </c>
      <c r="AG41" s="17" t="n">
        <v>0</v>
      </c>
      <c r="AH41" s="17" t="n">
        <f aca="false">G41+SUM(X41:AG41)</f>
        <v>29611819.142228</v>
      </c>
      <c r="AI41" s="17" t="n">
        <f aca="false">W41-AH41</f>
        <v>-10748697.3586037</v>
      </c>
      <c r="AJ41" s="17" t="n">
        <f aca="false">AJ40+AI41</f>
        <v>-244954982.78088</v>
      </c>
      <c r="AK41" s="17" t="n">
        <f aca="false">O41*Допущения!$F$58*Допущения!$F$59</f>
        <v>271766.982236213</v>
      </c>
      <c r="AL41" s="17" t="n">
        <f aca="false">T41*Допущения!$F$72</f>
        <v>805638.287685219</v>
      </c>
      <c r="AM41" s="17" t="n">
        <f aca="false">IF(MOD(A41,12)=0,INDEX($F$70:$F$74,B41),0)</f>
        <v>0</v>
      </c>
      <c r="AN41" s="17" t="n">
        <f aca="false">AI41-AM41</f>
        <v>-10748697.3586037</v>
      </c>
      <c r="AO41" s="26" t="n">
        <f aca="false">1/(1+Допущения!$F$74)^A41</f>
        <v>0.550706887360618</v>
      </c>
      <c r="AP41" s="21" t="str">
        <f aca="false">IF(AND(A41&gt;Допущения!$F$19,MIN(AI41:AI$65)&gt;0),A41,"")</f>
        <v/>
      </c>
      <c r="AQ41" s="21" t="str">
        <f aca="false">IF(MIN(AJ41:AJ$65)&gt;0,A41,"")</f>
        <v/>
      </c>
    </row>
    <row r="42" customFormat="false" ht="15" hidden="false" customHeight="false" outlineLevel="0" collapsed="false">
      <c r="A42" s="28" t="n">
        <v>37</v>
      </c>
      <c r="B42" s="28" t="n">
        <f aca="false">INT((A42-1)/12)+1</f>
        <v>4</v>
      </c>
      <c r="C42" s="12" t="s">
        <v>462</v>
      </c>
      <c r="D42" s="15" t="n">
        <f aca="false">(1+Допущения!$F$11)^(B42-1)</f>
        <v>1.259712</v>
      </c>
      <c r="E42" s="15" t="n">
        <f aca="false">(1+Допущения!$F$12)^(B42-1)</f>
        <v>1.225043</v>
      </c>
      <c r="F42" s="17" t="n">
        <f aca="false">Допущения!$F$71*E42</f>
        <v>3020.56402424</v>
      </c>
      <c r="G42" s="17" t="n">
        <f aca="false">MIN(G41*(1+Допущения!$F$33),Допущения!$F$34)</f>
        <v>2500000</v>
      </c>
      <c r="H42" s="25" t="n">
        <f aca="false">MIN(Допущения!$F$30,G42/Допущения!$F$29)</f>
        <v>300</v>
      </c>
      <c r="I42" s="25" t="n">
        <f aca="false">MAX(0,G42-H42*Допущения!$F$29)/Допущения!$F$31</f>
        <v>341.666666666667</v>
      </c>
      <c r="J42" s="25" t="n">
        <f aca="false">IF(A42&gt;=Допущения!$F$35,Допущения!$F$36,0)</f>
        <v>40</v>
      </c>
      <c r="K42" s="25" t="n">
        <f aca="false">H42+I42+J42</f>
        <v>681.666666666667</v>
      </c>
      <c r="L42" s="25" t="n">
        <f aca="false">(L41-K41)*(1-Допущения!$F$44)+K41*(1-Допущения!$F$43)+K42</f>
        <v>7043.26383108078</v>
      </c>
      <c r="M42" s="25" t="n">
        <f aca="false">IF(A42&gt;=Допущения!$F$38,Допущения!$F$73/Допущения!$F$42*MIN(Допущения!$F$42,A42-Допущения!$F$38+1),0)</f>
        <v>60</v>
      </c>
      <c r="N42" s="25" t="n">
        <f aca="false">N41*(1-Допущения!$F$45)+M42</f>
        <v>1363.32439519172</v>
      </c>
      <c r="O42" s="25" t="n">
        <f aca="false">L42+N42</f>
        <v>8406.5882262725</v>
      </c>
      <c r="P42" s="25" t="n">
        <f aca="false">L42*Допущения!$F$25</f>
        <v>2112.97914932423</v>
      </c>
      <c r="Q42" s="25" t="n">
        <f aca="false">L42*(1-Допущения!$F$25)+N42</f>
        <v>6293.60907694826</v>
      </c>
      <c r="R42" s="17" t="n">
        <f aca="false">MAX(Допущения!$F$18,ROUNDUP(Q42/Допущения!$F$68+P42/Допущения!$F$69,0))</f>
        <v>122</v>
      </c>
      <c r="S42" s="17" t="n">
        <f aca="false">ROUNDUP(R42/Допущения!$F$48,0)</f>
        <v>13</v>
      </c>
      <c r="T42" s="17" t="n">
        <f aca="false">L42*F42/(1+Допущения!$F$6)</f>
        <v>17438220.7716339</v>
      </c>
      <c r="U42" s="17" t="n">
        <f aca="false">N42*Допущения!$F$28*E42/(1+Допущения!$F$6)</f>
        <v>2053439.76277727</v>
      </c>
      <c r="V42" s="17" t="n">
        <f aca="false">O42*Допущения!$F$26*Допущения!$F$27/(1+Допущения!$F$6)</f>
        <v>1033596.91306629</v>
      </c>
      <c r="W42" s="17" t="n">
        <f aca="false">T42+U42+V42</f>
        <v>20525257.4474775</v>
      </c>
      <c r="X42" s="17" t="n">
        <f aca="false">J42*Допущения!$F$37</f>
        <v>20000</v>
      </c>
      <c r="Y42" s="17" t="n">
        <f aca="false">(R42*Допущения!$F$47+S42*Допущения!$F$49)*D42*Допущения!$F$9</f>
        <v>19780148.98944</v>
      </c>
      <c r="Z42" s="17" t="n">
        <f aca="false">(MAX(0,R42-R41)+R42*Допущения!$F$50/12)*Допущения!$F$51*D42</f>
        <v>590647.464</v>
      </c>
      <c r="AA42" s="17" t="n">
        <f aca="false">O42*(Допущения!$F$53+Допущения!$F$54)+(L42*F42+N42*Допущения!$F$28*E42)*Допущения!$F$13</f>
        <v>4168968.62602693</v>
      </c>
      <c r="AB42" s="17" t="n">
        <f aca="false">(R42+S42)*Допущения!$F$52</f>
        <v>364500</v>
      </c>
      <c r="AC42" s="17" t="n">
        <f aca="false">SUMPRODUCT(Допущения!$B$84:$B$91,Допущения!$C$84:$C$91,--(Допущения!$D$84:$D$91&lt;=A42))*D42*Допущения!$F$9</f>
        <v>2476618.98624</v>
      </c>
      <c r="AD42" s="17" t="n">
        <f aca="false">(AC42+Y42)*Допущения!$F$14</f>
        <v>2225676.797568</v>
      </c>
      <c r="AE42" s="17" t="n">
        <f aca="false">Допущения!$F$55+Допущения!$F$56*O42/1000+Допущения!$F$57</f>
        <v>207252.70581018</v>
      </c>
      <c r="AF42" s="17" t="n">
        <f aca="false">SUMIF(Допущения!$B$95:$B$103,A42,Допущения!$C$95:$C$103)</f>
        <v>0</v>
      </c>
      <c r="AG42" s="17" t="n">
        <v>0</v>
      </c>
      <c r="AH42" s="17" t="n">
        <f aca="false">G42+SUM(X42:AG42)</f>
        <v>32333813.5690851</v>
      </c>
      <c r="AI42" s="17" t="n">
        <f aca="false">W42-AH42</f>
        <v>-11808556.1216076</v>
      </c>
      <c r="AJ42" s="17" t="n">
        <f aca="false">AJ41+AI42</f>
        <v>-256763538.902487</v>
      </c>
      <c r="AK42" s="17" t="n">
        <f aca="false">O42*Допущения!$F$58*Допущения!$F$59</f>
        <v>277417.411466992</v>
      </c>
      <c r="AL42" s="17" t="n">
        <f aca="false">T42*Допущения!$F$72</f>
        <v>879238.02209919</v>
      </c>
      <c r="AM42" s="17" t="n">
        <f aca="false">IF(MOD(A42,12)=0,INDEX($F$70:$F$74,B42),0)</f>
        <v>0</v>
      </c>
      <c r="AN42" s="17" t="n">
        <f aca="false">AI42-AM42</f>
        <v>-11808556.1216076</v>
      </c>
      <c r="AO42" s="26" t="n">
        <f aca="false">1/(1+Допущения!$F$74)^A42</f>
        <v>0.541656370632077</v>
      </c>
      <c r="AP42" s="21" t="str">
        <f aca="false">IF(AND(A42&gt;Допущения!$F$19,MIN(AI42:AI$65)&gt;0),A42,"")</f>
        <v/>
      </c>
      <c r="AQ42" s="21" t="str">
        <f aca="false">IF(MIN(AJ42:AJ$65)&gt;0,A42,"")</f>
        <v/>
      </c>
    </row>
    <row r="43" customFormat="false" ht="15" hidden="false" customHeight="false" outlineLevel="0" collapsed="false">
      <c r="A43" s="28" t="n">
        <v>38</v>
      </c>
      <c r="B43" s="28" t="n">
        <f aca="false">INT((A43-1)/12)+1</f>
        <v>4</v>
      </c>
      <c r="C43" s="12" t="s">
        <v>462</v>
      </c>
      <c r="D43" s="15" t="n">
        <f aca="false">(1+Допущения!$F$11)^(B43-1)</f>
        <v>1.259712</v>
      </c>
      <c r="E43" s="15" t="n">
        <f aca="false">(1+Допущения!$F$12)^(B43-1)</f>
        <v>1.225043</v>
      </c>
      <c r="F43" s="17" t="n">
        <f aca="false">Допущения!$F$71*E43</f>
        <v>3020.56402424</v>
      </c>
      <c r="G43" s="17" t="n">
        <f aca="false">MIN(G42*(1+Допущения!$F$33),Допущения!$F$34)</f>
        <v>2500000</v>
      </c>
      <c r="H43" s="25" t="n">
        <f aca="false">MIN(Допущения!$F$30,G43/Допущения!$F$29)</f>
        <v>300</v>
      </c>
      <c r="I43" s="25" t="n">
        <f aca="false">MAX(0,G43-H43*Допущения!$F$29)/Допущения!$F$31</f>
        <v>341.666666666667</v>
      </c>
      <c r="J43" s="25" t="n">
        <f aca="false">IF(A43&gt;=Допущения!$F$35,Допущения!$F$36,0)</f>
        <v>40</v>
      </c>
      <c r="K43" s="25" t="n">
        <f aca="false">H43+I43+J43</f>
        <v>681.666666666667</v>
      </c>
      <c r="L43" s="25" t="n">
        <f aca="false">(L42-K42)*(1-Допущения!$F$44)+K42*(1-Допущения!$F$43)+K43</f>
        <v>7172.81800121593</v>
      </c>
      <c r="M43" s="25" t="n">
        <f aca="false">IF(A43&gt;=Допущения!$F$38,Допущения!$F$73/Допущения!$F$42*MIN(Допущения!$F$42,A43-Допущения!$F$38+1),0)</f>
        <v>60</v>
      </c>
      <c r="N43" s="25" t="n">
        <f aca="false">N42*(1-Допущения!$F$45)+M43</f>
        <v>1396.05790728788</v>
      </c>
      <c r="O43" s="25" t="n">
        <f aca="false">L43+N43</f>
        <v>8568.87590850382</v>
      </c>
      <c r="P43" s="25" t="n">
        <f aca="false">L43*Допущения!$F$25</f>
        <v>2151.84540036478</v>
      </c>
      <c r="Q43" s="25" t="n">
        <f aca="false">L43*(1-Допущения!$F$25)+N43</f>
        <v>6417.03050813903</v>
      </c>
      <c r="R43" s="17" t="n">
        <f aca="false">MAX(Допущения!$F$18,ROUNDUP(Q43/Допущения!$F$68+P43/Допущения!$F$69,0))</f>
        <v>124</v>
      </c>
      <c r="S43" s="17" t="n">
        <f aca="false">ROUNDUP(R43/Допущения!$F$48,0)</f>
        <v>13</v>
      </c>
      <c r="T43" s="17" t="n">
        <f aca="false">L43*F43/(1+Допущения!$F$6)</f>
        <v>17758980.3335196</v>
      </c>
      <c r="U43" s="17" t="n">
        <f aca="false">N43*Допущения!$F$28*E43/(1+Допущения!$F$6)</f>
        <v>2102742.99211189</v>
      </c>
      <c r="V43" s="17" t="n">
        <f aca="false">O43*Допущения!$F$26*Допущения!$F$27/(1+Допущения!$F$6)</f>
        <v>1053550.31661932</v>
      </c>
      <c r="W43" s="17" t="n">
        <f aca="false">T43+U43+V43</f>
        <v>20915273.6422508</v>
      </c>
      <c r="X43" s="17" t="n">
        <f aca="false">J43*Допущения!$F$37</f>
        <v>20000</v>
      </c>
      <c r="Y43" s="17" t="n">
        <f aca="false">(R43*Допущения!$F$47+S43*Допущения!$F$49)*D43*Допущения!$F$9</f>
        <v>20058973.64352</v>
      </c>
      <c r="Z43" s="17" t="n">
        <f aca="false">(MAX(0,R43-R42)+R43*Допущения!$F$50/12)*Допущения!$F$51*D43</f>
        <v>497901.168</v>
      </c>
      <c r="AA43" s="17" t="n">
        <f aca="false">O43*(Допущения!$F$53+Допущения!$F$54)+(L43*F43+N43*Допущения!$F$28*E43)*Допущения!$F$13</f>
        <v>4249313.22351506</v>
      </c>
      <c r="AB43" s="17" t="n">
        <f aca="false">(R43+S43)*Допущения!$F$52</f>
        <v>369900</v>
      </c>
      <c r="AC43" s="17" t="n">
        <f aca="false">SUMPRODUCT(Допущения!$B$84:$B$91,Допущения!$C$84:$C$91,--(Допущения!$D$84:$D$91&lt;=A43))*D43*Допущения!$F$9</f>
        <v>2476618.98624</v>
      </c>
      <c r="AD43" s="17" t="n">
        <f aca="false">(AC43+Y43)*Допущения!$F$14</f>
        <v>2253559.262976</v>
      </c>
      <c r="AE43" s="17" t="n">
        <f aca="false">Допущения!$F$55+Допущения!$F$56*O43/1000+Допущения!$F$57</f>
        <v>208551.007268031</v>
      </c>
      <c r="AF43" s="17" t="n">
        <f aca="false">SUMIF(Допущения!$B$95:$B$103,A43,Допущения!$C$95:$C$103)</f>
        <v>0</v>
      </c>
      <c r="AG43" s="17" t="n">
        <v>0</v>
      </c>
      <c r="AH43" s="17" t="n">
        <f aca="false">G43+SUM(X43:AG43)</f>
        <v>32634817.2915191</v>
      </c>
      <c r="AI43" s="17" t="n">
        <f aca="false">W43-AH43</f>
        <v>-11719543.6492683</v>
      </c>
      <c r="AJ43" s="17" t="n">
        <f aca="false">AJ42+AI43</f>
        <v>-268483082.551756</v>
      </c>
      <c r="AK43" s="17" t="n">
        <f aca="false">O43*Допущения!$F$58*Допущения!$F$59</f>
        <v>282772.904980626</v>
      </c>
      <c r="AL43" s="17" t="n">
        <f aca="false">T43*Допущения!$F$72</f>
        <v>895410.773118635</v>
      </c>
      <c r="AM43" s="17" t="n">
        <f aca="false">IF(MOD(A43,12)=0,INDEX($F$70:$F$74,B43),0)</f>
        <v>0</v>
      </c>
      <c r="AN43" s="17" t="n">
        <f aca="false">AI43-AM43</f>
        <v>-11719543.6492683</v>
      </c>
      <c r="AO43" s="26" t="n">
        <f aca="false">1/(1+Допущения!$F$74)^A43</f>
        <v>0.53275459337808</v>
      </c>
      <c r="AP43" s="21" t="str">
        <f aca="false">IF(AND(A43&gt;Допущения!$F$19,MIN(AI43:AI$65)&gt;0),A43,"")</f>
        <v/>
      </c>
      <c r="AQ43" s="21" t="str">
        <f aca="false">IF(MIN(AJ43:AJ$65)&gt;0,A43,"")</f>
        <v/>
      </c>
    </row>
    <row r="44" customFormat="false" ht="15" hidden="false" customHeight="false" outlineLevel="0" collapsed="false">
      <c r="A44" s="28" t="n">
        <v>39</v>
      </c>
      <c r="B44" s="28" t="n">
        <f aca="false">INT((A44-1)/12)+1</f>
        <v>4</v>
      </c>
      <c r="C44" s="12" t="s">
        <v>462</v>
      </c>
      <c r="D44" s="15" t="n">
        <f aca="false">(1+Допущения!$F$11)^(B44-1)</f>
        <v>1.259712</v>
      </c>
      <c r="E44" s="15" t="n">
        <f aca="false">(1+Допущения!$F$12)^(B44-1)</f>
        <v>1.225043</v>
      </c>
      <c r="F44" s="17" t="n">
        <f aca="false">Допущения!$F$71*E44</f>
        <v>3020.56402424</v>
      </c>
      <c r="G44" s="17" t="n">
        <f aca="false">MIN(G43*(1+Допущения!$F$33),Допущения!$F$34)</f>
        <v>2500000</v>
      </c>
      <c r="H44" s="25" t="n">
        <f aca="false">MIN(Допущения!$F$30,G44/Допущения!$F$29)</f>
        <v>300</v>
      </c>
      <c r="I44" s="25" t="n">
        <f aca="false">MAX(0,G44-H44*Допущения!$F$29)/Допущения!$F$31</f>
        <v>341.666666666667</v>
      </c>
      <c r="J44" s="25" t="n">
        <f aca="false">IF(A44&gt;=Допущения!$F$35,Допущения!$F$36,0)</f>
        <v>40</v>
      </c>
      <c r="K44" s="25" t="n">
        <f aca="false">H44+I44+J44</f>
        <v>681.666666666667</v>
      </c>
      <c r="L44" s="25" t="n">
        <f aca="false">(L43-K43)*(1-Допущения!$F$44)+K43*(1-Допущения!$F$43)+K44</f>
        <v>7294.59892114298</v>
      </c>
      <c r="M44" s="25" t="n">
        <f aca="false">IF(A44&gt;=Допущения!$F$38,Допущения!$F$73/Допущения!$F$42*MIN(Допущения!$F$42,A44-Допущения!$F$38+1),0)</f>
        <v>60</v>
      </c>
      <c r="N44" s="25" t="n">
        <f aca="false">N43*(1-Допущения!$F$45)+M44</f>
        <v>1428.13674914212</v>
      </c>
      <c r="O44" s="25" t="n">
        <f aca="false">L44+N44</f>
        <v>8722.7356702851</v>
      </c>
      <c r="P44" s="25" t="n">
        <f aca="false">L44*Допущения!$F$25</f>
        <v>2188.37967634289</v>
      </c>
      <c r="Q44" s="25" t="n">
        <f aca="false">L44*(1-Допущения!$F$25)+N44</f>
        <v>6534.35599394221</v>
      </c>
      <c r="R44" s="17" t="n">
        <f aca="false">MAX(Допущения!$F$18,ROUNDUP(Q44/Допущения!$F$68+P44/Допущения!$F$69,0))</f>
        <v>126</v>
      </c>
      <c r="S44" s="17" t="n">
        <f aca="false">ROUNDUP(R44/Допущения!$F$48,0)</f>
        <v>13</v>
      </c>
      <c r="T44" s="17" t="n">
        <f aca="false">L44*F44/(1+Допущения!$F$6)</f>
        <v>18060494.3216921</v>
      </c>
      <c r="U44" s="17" t="n">
        <f aca="false">N44*Допущения!$F$28*E44/(1+Допущения!$F$6)</f>
        <v>2151060.15685981</v>
      </c>
      <c r="V44" s="17" t="n">
        <f aca="false">O44*Допущения!$F$26*Допущения!$F$27/(1+Допущения!$F$6)</f>
        <v>1072467.50044489</v>
      </c>
      <c r="W44" s="17" t="n">
        <f aca="false">T44+U44+V44</f>
        <v>21284021.9789968</v>
      </c>
      <c r="X44" s="17" t="n">
        <f aca="false">J44*Допущения!$F$37</f>
        <v>20000</v>
      </c>
      <c r="Y44" s="17" t="n">
        <f aca="false">(R44*Допущения!$F$47+S44*Допущения!$F$49)*D44*Допущения!$F$9</f>
        <v>20337798.2976</v>
      </c>
      <c r="Z44" s="17" t="n">
        <f aca="false">(MAX(0,R44-R43)+R44*Допущения!$F$50/12)*Допущения!$F$51*D44</f>
        <v>502782.552</v>
      </c>
      <c r="AA44" s="17" t="n">
        <f aca="false">O44*(Допущения!$F$53+Допущения!$F$54)+(L44*F44+N44*Допущения!$F$28*E44)*Допущения!$F$13</f>
        <v>4325463.10962587</v>
      </c>
      <c r="AB44" s="17" t="n">
        <f aca="false">(R44+S44)*Допущения!$F$52</f>
        <v>375300</v>
      </c>
      <c r="AC44" s="17" t="n">
        <f aca="false">SUMPRODUCT(Допущения!$B$84:$B$91,Допущения!$C$84:$C$91,--(Допущения!$D$84:$D$91&lt;=A44))*D44*Допущения!$F$9</f>
        <v>2476618.98624</v>
      </c>
      <c r="AD44" s="17" t="n">
        <f aca="false">(AC44+Y44)*Допущения!$F$14</f>
        <v>2281441.728384</v>
      </c>
      <c r="AE44" s="17" t="n">
        <f aca="false">Допущения!$F$55+Допущения!$F$56*O44/1000+Допущения!$F$57</f>
        <v>209781.885362281</v>
      </c>
      <c r="AF44" s="17" t="n">
        <f aca="false">SUMIF(Допущения!$B$95:$B$103,A44,Допущения!$C$95:$C$103)</f>
        <v>0</v>
      </c>
      <c r="AG44" s="17" t="n">
        <v>0</v>
      </c>
      <c r="AH44" s="17" t="n">
        <f aca="false">G44+SUM(X44:AG44)</f>
        <v>33029186.5592122</v>
      </c>
      <c r="AI44" s="17" t="n">
        <f aca="false">W44-AH44</f>
        <v>-11745164.5802153</v>
      </c>
      <c r="AJ44" s="17" t="n">
        <f aca="false">AJ43+AI44</f>
        <v>-280228247.131971</v>
      </c>
      <c r="AK44" s="17" t="n">
        <f aca="false">O44*Допущения!$F$58*Допущения!$F$59</f>
        <v>287850.277119408</v>
      </c>
      <c r="AL44" s="17" t="n">
        <f aca="false">T44*Допущения!$F$72</f>
        <v>910613.159076914</v>
      </c>
      <c r="AM44" s="17" t="n">
        <f aca="false">IF(MOD(A44,12)=0,INDEX($F$70:$F$74,B44),0)</f>
        <v>0</v>
      </c>
      <c r="AN44" s="17" t="n">
        <f aca="false">AI44-AM44</f>
        <v>-11745164.5802153</v>
      </c>
      <c r="AO44" s="26" t="n">
        <f aca="false">1/(1+Допущения!$F$74)^A44</f>
        <v>0.523999111160154</v>
      </c>
      <c r="AP44" s="21" t="str">
        <f aca="false">IF(AND(A44&gt;Допущения!$F$19,MIN(AI44:AI$65)&gt;0),A44,"")</f>
        <v/>
      </c>
      <c r="AQ44" s="21" t="str">
        <f aca="false">IF(MIN(AJ44:AJ$65)&gt;0,A44,"")</f>
        <v/>
      </c>
    </row>
    <row r="45" customFormat="false" ht="15" hidden="false" customHeight="false" outlineLevel="0" collapsed="false">
      <c r="A45" s="28" t="n">
        <v>40</v>
      </c>
      <c r="B45" s="28" t="n">
        <f aca="false">INT((A45-1)/12)+1</f>
        <v>4</v>
      </c>
      <c r="C45" s="12" t="s">
        <v>462</v>
      </c>
      <c r="D45" s="15" t="n">
        <f aca="false">(1+Допущения!$F$11)^(B45-1)</f>
        <v>1.259712</v>
      </c>
      <c r="E45" s="15" t="n">
        <f aca="false">(1+Допущения!$F$12)^(B45-1)</f>
        <v>1.225043</v>
      </c>
      <c r="F45" s="17" t="n">
        <f aca="false">Допущения!$F$71*E45</f>
        <v>3020.56402424</v>
      </c>
      <c r="G45" s="17" t="n">
        <f aca="false">MIN(G44*(1+Допущения!$F$33),Допущения!$F$34)</f>
        <v>2500000</v>
      </c>
      <c r="H45" s="25" t="n">
        <f aca="false">MIN(Допущения!$F$30,G45/Допущения!$F$29)</f>
        <v>300</v>
      </c>
      <c r="I45" s="25" t="n">
        <f aca="false">MAX(0,G45-H45*Допущения!$F$29)/Допущения!$F$31</f>
        <v>341.666666666667</v>
      </c>
      <c r="J45" s="25" t="n">
        <f aca="false">IF(A45&gt;=Допущения!$F$35,Допущения!$F$36,0)</f>
        <v>40</v>
      </c>
      <c r="K45" s="25" t="n">
        <f aca="false">H45+I45+J45</f>
        <v>681.666666666667</v>
      </c>
      <c r="L45" s="25" t="n">
        <f aca="false">(L44-K44)*(1-Допущения!$F$44)+K44*(1-Допущения!$F$43)+K45</f>
        <v>7409.0729858744</v>
      </c>
      <c r="M45" s="25" t="n">
        <f aca="false">IF(A45&gt;=Допущения!$F$38,Допущения!$F$73/Допущения!$F$42*MIN(Допущения!$F$42,A45-Допущения!$F$38+1),0)</f>
        <v>60</v>
      </c>
      <c r="N45" s="25" t="n">
        <f aca="false">N44*(1-Допущения!$F$45)+M45</f>
        <v>1459.57401415928</v>
      </c>
      <c r="O45" s="25" t="n">
        <f aca="false">L45+N45</f>
        <v>8868.64700003368</v>
      </c>
      <c r="P45" s="25" t="n">
        <f aca="false">L45*Допущения!$F$25</f>
        <v>2222.72189576232</v>
      </c>
      <c r="Q45" s="25" t="n">
        <f aca="false">L45*(1-Допущения!$F$25)+N45</f>
        <v>6645.92510427136</v>
      </c>
      <c r="R45" s="17" t="n">
        <f aca="false">MAX(Допущения!$F$18,ROUNDUP(Q45/Допущения!$F$68+P45/Допущения!$F$69,0))</f>
        <v>128</v>
      </c>
      <c r="S45" s="17" t="n">
        <f aca="false">ROUNDUP(R45/Допущения!$F$48,0)</f>
        <v>13</v>
      </c>
      <c r="T45" s="17" t="n">
        <f aca="false">L45*F45/(1+Допущения!$F$6)</f>
        <v>18343917.4705743</v>
      </c>
      <c r="U45" s="17" t="n">
        <f aca="false">N45*Допущения!$F$28*E45/(1+Допущения!$F$6)</f>
        <v>2198410.97831278</v>
      </c>
      <c r="V45" s="17" t="n">
        <f aca="false">O45*Допущения!$F$26*Допущения!$F$27/(1+Допущения!$F$6)</f>
        <v>1090407.41803693</v>
      </c>
      <c r="W45" s="17" t="n">
        <f aca="false">T45+U45+V45</f>
        <v>21632735.866924</v>
      </c>
      <c r="X45" s="17" t="n">
        <f aca="false">J45*Допущения!$F$37</f>
        <v>20000</v>
      </c>
      <c r="Y45" s="17" t="n">
        <f aca="false">(R45*Допущения!$F$47+S45*Допущения!$F$49)*D45*Допущения!$F$9</f>
        <v>20616622.95168</v>
      </c>
      <c r="Z45" s="17" t="n">
        <f aca="false">(MAX(0,R45-R44)+R45*Допущения!$F$50/12)*Допущения!$F$51*D45</f>
        <v>507663.936</v>
      </c>
      <c r="AA45" s="17" t="n">
        <f aca="false">O45*(Допущения!$F$53+Допущения!$F$54)+(L45*F45+N45*Допущения!$F$28*E45)*Допущения!$F$13</f>
        <v>4397657.44775255</v>
      </c>
      <c r="AB45" s="17" t="n">
        <f aca="false">(R45+S45)*Допущения!$F$52</f>
        <v>380700</v>
      </c>
      <c r="AC45" s="17" t="n">
        <f aca="false">SUMPRODUCT(Допущения!$B$84:$B$91,Допущения!$C$84:$C$91,--(Допущения!$D$84:$D$91&lt;=A45))*D45*Допущения!$F$9</f>
        <v>2476618.98624</v>
      </c>
      <c r="AD45" s="17" t="n">
        <f aca="false">(AC45+Y45)*Допущения!$F$14</f>
        <v>2309324.193792</v>
      </c>
      <c r="AE45" s="17" t="n">
        <f aca="false">Допущения!$F$55+Допущения!$F$56*O45/1000+Допущения!$F$57</f>
        <v>210949.176000269</v>
      </c>
      <c r="AF45" s="17" t="n">
        <f aca="false">SUMIF(Допущения!$B$95:$B$103,A45,Допущения!$C$95:$C$103)</f>
        <v>0</v>
      </c>
      <c r="AG45" s="17" t="n">
        <v>0</v>
      </c>
      <c r="AH45" s="17" t="n">
        <f aca="false">G45+SUM(X45:AG45)</f>
        <v>33419536.6914648</v>
      </c>
      <c r="AI45" s="17" t="n">
        <f aca="false">W45-AH45</f>
        <v>-11786800.8245408</v>
      </c>
      <c r="AJ45" s="17" t="n">
        <f aca="false">AJ44+AI45</f>
        <v>-292015047.956512</v>
      </c>
      <c r="AK45" s="17" t="n">
        <f aca="false">O45*Допущения!$F$58*Допущения!$F$59</f>
        <v>292665.351001111</v>
      </c>
      <c r="AL45" s="17" t="n">
        <f aca="false">T45*Допущения!$F$72</f>
        <v>924903.401877696</v>
      </c>
      <c r="AM45" s="17" t="n">
        <f aca="false">IF(MOD(A45,12)=0,INDEX($F$70:$F$74,B45),0)</f>
        <v>0</v>
      </c>
      <c r="AN45" s="17" t="n">
        <f aca="false">AI45-AM45</f>
        <v>-11786800.8245408</v>
      </c>
      <c r="AO45" s="26" t="n">
        <f aca="false">1/(1+Допущения!$F$74)^A45</f>
        <v>0.515387519712614</v>
      </c>
      <c r="AP45" s="21" t="str">
        <f aca="false">IF(AND(A45&gt;Допущения!$F$19,MIN(AI45:AI$65)&gt;0),A45,"")</f>
        <v/>
      </c>
      <c r="AQ45" s="21" t="str">
        <f aca="false">IF(MIN(AJ45:AJ$65)&gt;0,A45,"")</f>
        <v/>
      </c>
    </row>
    <row r="46" customFormat="false" ht="15" hidden="false" customHeight="false" outlineLevel="0" collapsed="false">
      <c r="A46" s="28" t="n">
        <v>41</v>
      </c>
      <c r="B46" s="28" t="n">
        <f aca="false">INT((A46-1)/12)+1</f>
        <v>4</v>
      </c>
      <c r="C46" s="12" t="s">
        <v>462</v>
      </c>
      <c r="D46" s="15" t="n">
        <f aca="false">(1+Допущения!$F$11)^(B46-1)</f>
        <v>1.259712</v>
      </c>
      <c r="E46" s="15" t="n">
        <f aca="false">(1+Допущения!$F$12)^(B46-1)</f>
        <v>1.225043</v>
      </c>
      <c r="F46" s="17" t="n">
        <f aca="false">Допущения!$F$71*E46</f>
        <v>3020.56402424</v>
      </c>
      <c r="G46" s="17" t="n">
        <f aca="false">MIN(G45*(1+Допущения!$F$33),Допущения!$F$34)</f>
        <v>2500000</v>
      </c>
      <c r="H46" s="25" t="n">
        <f aca="false">MIN(Допущения!$F$30,G46/Допущения!$F$29)</f>
        <v>300</v>
      </c>
      <c r="I46" s="25" t="n">
        <f aca="false">MAX(0,G46-H46*Допущения!$F$29)/Допущения!$F$31</f>
        <v>341.666666666667</v>
      </c>
      <c r="J46" s="25" t="n">
        <f aca="false">IF(A46&gt;=Допущения!$F$35,Допущения!$F$36,0)</f>
        <v>40</v>
      </c>
      <c r="K46" s="25" t="n">
        <f aca="false">H46+I46+J46</f>
        <v>681.666666666667</v>
      </c>
      <c r="L46" s="25" t="n">
        <f aca="false">(L45-K45)*(1-Допущения!$F$44)+K45*(1-Допущения!$F$43)+K46</f>
        <v>7516.67860672193</v>
      </c>
      <c r="M46" s="25" t="n">
        <f aca="false">IF(A46&gt;=Допущения!$F$38,Допущения!$F$73/Допущения!$F$42*MIN(Допущения!$F$42,A46-Допущения!$F$38+1),0)</f>
        <v>60</v>
      </c>
      <c r="N46" s="25" t="n">
        <f aca="false">N45*(1-Допущения!$F$45)+M46</f>
        <v>1490.3825338761</v>
      </c>
      <c r="O46" s="25" t="n">
        <f aca="false">L46+N46</f>
        <v>9007.06114059803</v>
      </c>
      <c r="P46" s="25" t="n">
        <f aca="false">L46*Допущения!$F$25</f>
        <v>2255.00358201658</v>
      </c>
      <c r="Q46" s="25" t="n">
        <f aca="false">L46*(1-Допущения!$F$25)+N46</f>
        <v>6752.05755858145</v>
      </c>
      <c r="R46" s="17" t="n">
        <f aca="false">MAX(Допущения!$F$18,ROUNDUP(Q46/Допущения!$F$68+P46/Допущения!$F$69,0))</f>
        <v>130</v>
      </c>
      <c r="S46" s="17" t="n">
        <f aca="false">ROUNDUP(R46/Допущения!$F$48,0)</f>
        <v>13</v>
      </c>
      <c r="T46" s="17" t="n">
        <f aca="false">L46*F46/(1+Допущения!$F$6)</f>
        <v>18610335.2305235</v>
      </c>
      <c r="U46" s="17" t="n">
        <f aca="false">N46*Допущения!$F$28*E46/(1+Допущения!$F$6)</f>
        <v>2244814.78333669</v>
      </c>
      <c r="V46" s="17" t="n">
        <f aca="false">O46*Допущения!$F$26*Допущения!$F$27/(1+Допущения!$F$6)</f>
        <v>1107425.55007353</v>
      </c>
      <c r="W46" s="17" t="n">
        <f aca="false">T46+U46+V46</f>
        <v>21962575.5639338</v>
      </c>
      <c r="X46" s="17" t="n">
        <f aca="false">J46*Допущения!$F$37</f>
        <v>20000</v>
      </c>
      <c r="Y46" s="17" t="n">
        <f aca="false">(R46*Допущения!$F$47+S46*Допущения!$F$49)*D46*Допущения!$F$9</f>
        <v>20895447.60576</v>
      </c>
      <c r="Z46" s="17" t="n">
        <f aca="false">(MAX(0,R46-R45)+R46*Допущения!$F$50/12)*Допущения!$F$51*D46</f>
        <v>512545.32</v>
      </c>
      <c r="AA46" s="17" t="n">
        <f aca="false">O46*(Допущения!$F$53+Допущения!$F$54)+(L46*F46+N46*Допущения!$F$28*E46)*Допущения!$F$13</f>
        <v>4466121.30187049</v>
      </c>
      <c r="AB46" s="17" t="n">
        <f aca="false">(R46+S46)*Допущения!$F$52</f>
        <v>386100</v>
      </c>
      <c r="AC46" s="17" t="n">
        <f aca="false">SUMPRODUCT(Допущения!$B$84:$B$91,Допущения!$C$84:$C$91,--(Допущения!$D$84:$D$91&lt;=A46))*D46*Допущения!$F$9</f>
        <v>2476618.98624</v>
      </c>
      <c r="AD46" s="17" t="n">
        <f aca="false">(AC46+Y46)*Допущения!$F$14</f>
        <v>2337206.6592</v>
      </c>
      <c r="AE46" s="17" t="n">
        <f aca="false">Допущения!$F$55+Допущения!$F$56*O46/1000+Допущения!$F$57</f>
        <v>212056.489124784</v>
      </c>
      <c r="AF46" s="17" t="n">
        <f aca="false">SUMIF(Допущения!$B$95:$B$103,A46,Допущения!$C$95:$C$103)</f>
        <v>0</v>
      </c>
      <c r="AG46" s="17" t="n">
        <v>0</v>
      </c>
      <c r="AH46" s="17" t="n">
        <f aca="false">G46+SUM(X46:AG46)</f>
        <v>33806096.3621953</v>
      </c>
      <c r="AI46" s="17" t="n">
        <f aca="false">W46-AH46</f>
        <v>-11843520.7982615</v>
      </c>
      <c r="AJ46" s="17" t="n">
        <f aca="false">AJ45+AI46</f>
        <v>-303858568.754773</v>
      </c>
      <c r="AK46" s="17" t="n">
        <f aca="false">O46*Допущения!$F$58*Допущения!$F$59</f>
        <v>297233.017639735</v>
      </c>
      <c r="AL46" s="17" t="n">
        <f aca="false">T46*Допущения!$F$72</f>
        <v>938336.230110431</v>
      </c>
      <c r="AM46" s="17" t="n">
        <f aca="false">IF(MOD(A46,12)=0,INDEX($F$70:$F$74,B46),0)</f>
        <v>0</v>
      </c>
      <c r="AN46" s="17" t="n">
        <f aca="false">AI46-AM46</f>
        <v>-11843520.7982615</v>
      </c>
      <c r="AO46" s="26" t="n">
        <f aca="false">1/(1+Допущения!$F$74)^A46</f>
        <v>0.506917454282353</v>
      </c>
      <c r="AP46" s="21" t="str">
        <f aca="false">IF(AND(A46&gt;Допущения!$F$19,MIN(AI46:AI$65)&gt;0),A46,"")</f>
        <v/>
      </c>
      <c r="AQ46" s="21" t="str">
        <f aca="false">IF(MIN(AJ46:AJ$65)&gt;0,A46,"")</f>
        <v/>
      </c>
    </row>
    <row r="47" customFormat="false" ht="15" hidden="false" customHeight="false" outlineLevel="0" collapsed="false">
      <c r="A47" s="28" t="n">
        <v>42</v>
      </c>
      <c r="B47" s="28" t="n">
        <f aca="false">INT((A47-1)/12)+1</f>
        <v>4</v>
      </c>
      <c r="C47" s="12" t="s">
        <v>462</v>
      </c>
      <c r="D47" s="15" t="n">
        <f aca="false">(1+Допущения!$F$11)^(B47-1)</f>
        <v>1.259712</v>
      </c>
      <c r="E47" s="15" t="n">
        <f aca="false">(1+Допущения!$F$12)^(B47-1)</f>
        <v>1.225043</v>
      </c>
      <c r="F47" s="17" t="n">
        <f aca="false">Допущения!$F$71*E47</f>
        <v>3020.56402424</v>
      </c>
      <c r="G47" s="17" t="n">
        <f aca="false">MIN(G46*(1+Допущения!$F$33),Допущения!$F$34)</f>
        <v>2500000</v>
      </c>
      <c r="H47" s="25" t="n">
        <f aca="false">MIN(Допущения!$F$30,G47/Допущения!$F$29)</f>
        <v>300</v>
      </c>
      <c r="I47" s="25" t="n">
        <f aca="false">MAX(0,G47-H47*Допущения!$F$29)/Допущения!$F$31</f>
        <v>341.666666666667</v>
      </c>
      <c r="J47" s="25" t="n">
        <f aca="false">IF(A47&gt;=Допущения!$F$35,Допущения!$F$36,0)</f>
        <v>40</v>
      </c>
      <c r="K47" s="25" t="n">
        <f aca="false">H47+I47+J47</f>
        <v>681.666666666667</v>
      </c>
      <c r="L47" s="25" t="n">
        <f aca="false">(L46-K46)*(1-Допущения!$F$44)+K46*(1-Допущения!$F$43)+K47</f>
        <v>7617.82789031862</v>
      </c>
      <c r="M47" s="25" t="n">
        <f aca="false">IF(A47&gt;=Допущения!$F$38,Допущения!$F$73/Допущения!$F$42*MIN(Допущения!$F$42,A47-Допущения!$F$38+1),0)</f>
        <v>60</v>
      </c>
      <c r="N47" s="25" t="n">
        <f aca="false">N46*(1-Допущения!$F$45)+M47</f>
        <v>1520.57488319857</v>
      </c>
      <c r="O47" s="25" t="n">
        <f aca="false">L47+N47</f>
        <v>9138.40277351719</v>
      </c>
      <c r="P47" s="25" t="n">
        <f aca="false">L47*Допущения!$F$25</f>
        <v>2285.34836709559</v>
      </c>
      <c r="Q47" s="25" t="n">
        <f aca="false">L47*(1-Допущения!$F$25)+N47</f>
        <v>6853.05440642161</v>
      </c>
      <c r="R47" s="17" t="n">
        <f aca="false">MAX(Допущения!$F$18,ROUNDUP(Q47/Допущения!$F$68+P47/Допущения!$F$69,0))</f>
        <v>132</v>
      </c>
      <c r="S47" s="17" t="n">
        <f aca="false">ROUNDUP(R47/Допущения!$F$48,0)</f>
        <v>14</v>
      </c>
      <c r="T47" s="17" t="n">
        <f aca="false">L47*F47/(1+Допущения!$F$6)</f>
        <v>18860767.9248758</v>
      </c>
      <c r="U47" s="17" t="n">
        <f aca="false">N47*Допущения!$F$28*E47/(1+Допущения!$F$6)</f>
        <v>2290290.51226012</v>
      </c>
      <c r="V47" s="17" t="n">
        <f aca="false">O47*Допущения!$F$26*Допущения!$F$27/(1+Допущения!$F$6)</f>
        <v>1123574.11149802</v>
      </c>
      <c r="W47" s="17" t="n">
        <f aca="false">T47+U47+V47</f>
        <v>22274632.548634</v>
      </c>
      <c r="X47" s="17" t="n">
        <f aca="false">J47*Допущения!$F$37</f>
        <v>20000</v>
      </c>
      <c r="Y47" s="17" t="n">
        <f aca="false">(R47*Допущения!$F$47+S47*Допущения!$F$49)*D47*Допущения!$F$9</f>
        <v>21387491.11296</v>
      </c>
      <c r="Z47" s="17" t="n">
        <f aca="false">(MAX(0,R47-R46)+R47*Допущения!$F$50/12)*Допущения!$F$51*D47</f>
        <v>517426.704</v>
      </c>
      <c r="AA47" s="17" t="n">
        <f aca="false">O47*(Допущения!$F$53+Допущения!$F$54)+(L47*F47+N47*Допущения!$F$28*E47)*Допущения!$F$13</f>
        <v>4531066.47749466</v>
      </c>
      <c r="AB47" s="17" t="n">
        <f aca="false">(R47+S47)*Допущения!$F$52</f>
        <v>394200</v>
      </c>
      <c r="AC47" s="17" t="n">
        <f aca="false">SUMPRODUCT(Допущения!$B$84:$B$91,Допущения!$C$84:$C$91,--(Допущения!$D$84:$D$91&lt;=A47))*D47*Допущения!$F$9</f>
        <v>2476618.98624</v>
      </c>
      <c r="AD47" s="17" t="n">
        <f aca="false">(AC47+Y47)*Допущения!$F$14</f>
        <v>2386411.00992</v>
      </c>
      <c r="AE47" s="17" t="n">
        <f aca="false">Допущения!$F$55+Допущения!$F$56*O47/1000+Допущения!$F$57</f>
        <v>213107.222188138</v>
      </c>
      <c r="AF47" s="17" t="n">
        <f aca="false">SUMIF(Допущения!$B$95:$B$103,A47,Допущения!$C$95:$C$103)</f>
        <v>0</v>
      </c>
      <c r="AG47" s="17" t="n">
        <v>0</v>
      </c>
      <c r="AH47" s="17" t="n">
        <f aca="false">G47+SUM(X47:AG47)</f>
        <v>34426321.5128028</v>
      </c>
      <c r="AI47" s="17" t="n">
        <f aca="false">W47-AH47</f>
        <v>-12151688.9641688</v>
      </c>
      <c r="AJ47" s="17" t="n">
        <f aca="false">AJ46+AI47</f>
        <v>-316010257.718942</v>
      </c>
      <c r="AK47" s="17" t="n">
        <f aca="false">O47*Допущения!$F$58*Допущения!$F$59</f>
        <v>301567.291526067</v>
      </c>
      <c r="AL47" s="17" t="n">
        <f aca="false">T47*Допущения!$F$72</f>
        <v>950963.088649202</v>
      </c>
      <c r="AM47" s="17" t="n">
        <f aca="false">IF(MOD(A47,12)=0,INDEX($F$70:$F$74,B47),0)</f>
        <v>0</v>
      </c>
      <c r="AN47" s="17" t="n">
        <f aca="false">AI47-AM47</f>
        <v>-12151688.9641688</v>
      </c>
      <c r="AO47" s="26" t="n">
        <f aca="false">1/(1+Допущения!$F$74)^A47</f>
        <v>0.498586588979468</v>
      </c>
      <c r="AP47" s="21" t="str">
        <f aca="false">IF(AND(A47&gt;Допущения!$F$19,MIN(AI47:AI$65)&gt;0),A47,"")</f>
        <v/>
      </c>
      <c r="AQ47" s="21" t="str">
        <f aca="false">IF(MIN(AJ47:AJ$65)&gt;0,A47,"")</f>
        <v/>
      </c>
    </row>
    <row r="48" customFormat="false" ht="15" hidden="false" customHeight="false" outlineLevel="0" collapsed="false">
      <c r="A48" s="28" t="n">
        <v>43</v>
      </c>
      <c r="B48" s="28" t="n">
        <f aca="false">INT((A48-1)/12)+1</f>
        <v>4</v>
      </c>
      <c r="C48" s="12" t="s">
        <v>462</v>
      </c>
      <c r="D48" s="15" t="n">
        <f aca="false">(1+Допущения!$F$11)^(B48-1)</f>
        <v>1.259712</v>
      </c>
      <c r="E48" s="15" t="n">
        <f aca="false">(1+Допущения!$F$12)^(B48-1)</f>
        <v>1.225043</v>
      </c>
      <c r="F48" s="17" t="n">
        <f aca="false">Допущения!$F$71*E48</f>
        <v>3020.56402424</v>
      </c>
      <c r="G48" s="17" t="n">
        <f aca="false">MIN(G47*(1+Допущения!$F$33),Допущения!$F$34)</f>
        <v>2500000</v>
      </c>
      <c r="H48" s="25" t="n">
        <f aca="false">MIN(Допущения!$F$30,G48/Допущения!$F$29)</f>
        <v>300</v>
      </c>
      <c r="I48" s="25" t="n">
        <f aca="false">MAX(0,G48-H48*Допущения!$F$29)/Допущения!$F$31</f>
        <v>341.666666666667</v>
      </c>
      <c r="J48" s="25" t="n">
        <f aca="false">IF(A48&gt;=Допущения!$F$35,Допущения!$F$36,0)</f>
        <v>40</v>
      </c>
      <c r="K48" s="25" t="n">
        <f aca="false">H48+I48+J48</f>
        <v>681.666666666667</v>
      </c>
      <c r="L48" s="25" t="n">
        <f aca="false">(L47-K47)*(1-Допущения!$F$44)+K47*(1-Допущения!$F$43)+K48</f>
        <v>7712.9082168995</v>
      </c>
      <c r="M48" s="25" t="n">
        <f aca="false">IF(A48&gt;=Допущения!$F$38,Допущения!$F$73/Допущения!$F$42*MIN(Допущения!$F$42,A48-Допущения!$F$38+1),0)</f>
        <v>60</v>
      </c>
      <c r="N48" s="25" t="n">
        <f aca="false">N47*(1-Допущения!$F$45)+M48</f>
        <v>1550.1633855346</v>
      </c>
      <c r="O48" s="25" t="n">
        <f aca="false">L48+N48</f>
        <v>9263.0716024341</v>
      </c>
      <c r="P48" s="25" t="n">
        <f aca="false">L48*Допущения!$F$25</f>
        <v>2313.87246506985</v>
      </c>
      <c r="Q48" s="25" t="n">
        <f aca="false">L48*(1-Допущения!$F$25)+N48</f>
        <v>6949.19913736425</v>
      </c>
      <c r="R48" s="17" t="n">
        <f aca="false">MAX(Допущения!$F$18,ROUNDUP(Q48/Допущения!$F$68+P48/Допущения!$F$69,0))</f>
        <v>134</v>
      </c>
      <c r="S48" s="17" t="n">
        <f aca="false">ROUNDUP(R48/Допущения!$F$48,0)</f>
        <v>14</v>
      </c>
      <c r="T48" s="17" t="n">
        <f aca="false">L48*F48/(1+Допущения!$F$6)</f>
        <v>19096174.657567</v>
      </c>
      <c r="U48" s="17" t="n">
        <f aca="false">N48*Допущения!$F$28*E48/(1+Допущения!$F$6)</f>
        <v>2334856.72660508</v>
      </c>
      <c r="V48" s="17" t="n">
        <f aca="false">O48*Допущения!$F$26*Допущения!$F$27/(1+Допущения!$F$6)</f>
        <v>1138902.24620091</v>
      </c>
      <c r="W48" s="17" t="n">
        <f aca="false">T48+U48+V48</f>
        <v>22569933.630373</v>
      </c>
      <c r="X48" s="17" t="n">
        <f aca="false">J48*Допущения!$F$37</f>
        <v>20000</v>
      </c>
      <c r="Y48" s="17" t="n">
        <f aca="false">(R48*Допущения!$F$47+S48*Допущения!$F$49)*D48*Допущения!$F$9</f>
        <v>21666315.76704</v>
      </c>
      <c r="Z48" s="17" t="n">
        <f aca="false">(MAX(0,R48-R47)+R48*Допущения!$F$50/12)*Допущения!$F$51*D48</f>
        <v>522308.088</v>
      </c>
      <c r="AA48" s="17" t="n">
        <f aca="false">O48*(Допущения!$F$53+Допущения!$F$54)+(L48*F48+N48*Допущения!$F$28*E48)*Допущения!$F$13</f>
        <v>4592692.31227959</v>
      </c>
      <c r="AB48" s="17" t="n">
        <f aca="false">(R48+S48)*Допущения!$F$52</f>
        <v>399600</v>
      </c>
      <c r="AC48" s="17" t="n">
        <f aca="false">SUMPRODUCT(Допущения!$B$84:$B$91,Допущения!$C$84:$C$91,--(Допущения!$D$84:$D$91&lt;=A48))*D48*Допущения!$F$9</f>
        <v>2476618.98624</v>
      </c>
      <c r="AD48" s="17" t="n">
        <f aca="false">(AC48+Y48)*Допущения!$F$14</f>
        <v>2414293.475328</v>
      </c>
      <c r="AE48" s="17" t="n">
        <f aca="false">Допущения!$F$55+Допущения!$F$56*O48/1000+Допущения!$F$57</f>
        <v>214104.572819473</v>
      </c>
      <c r="AF48" s="17" t="n">
        <f aca="false">SUMIF(Допущения!$B$95:$B$103,A48,Допущения!$C$95:$C$103)</f>
        <v>0</v>
      </c>
      <c r="AG48" s="17" t="n">
        <v>0</v>
      </c>
      <c r="AH48" s="17" t="n">
        <f aca="false">G48+SUM(X48:AG48)</f>
        <v>34805933.2017071</v>
      </c>
      <c r="AI48" s="17" t="n">
        <f aca="false">W48-AH48</f>
        <v>-12235999.5713341</v>
      </c>
      <c r="AJ48" s="17" t="n">
        <f aca="false">AJ47+AI48</f>
        <v>-328246257.290276</v>
      </c>
      <c r="AK48" s="17" t="n">
        <f aca="false">O48*Допущения!$F$58*Допущения!$F$59</f>
        <v>305681.362880325</v>
      </c>
      <c r="AL48" s="17" t="n">
        <f aca="false">T48*Допущения!$F$72</f>
        <v>962832.335675646</v>
      </c>
      <c r="AM48" s="17" t="n">
        <f aca="false">IF(MOD(A48,12)=0,INDEX($F$70:$F$74,B48),0)</f>
        <v>0</v>
      </c>
      <c r="AN48" s="17" t="n">
        <f aca="false">AI48-AM48</f>
        <v>-12235999.5713341</v>
      </c>
      <c r="AO48" s="26" t="n">
        <f aca="false">1/(1+Допущения!$F$74)^A48</f>
        <v>0.490392636138581</v>
      </c>
      <c r="AP48" s="21" t="str">
        <f aca="false">IF(AND(A48&gt;Допущения!$F$19,MIN(AI48:AI$65)&gt;0),A48,"")</f>
        <v/>
      </c>
      <c r="AQ48" s="21" t="str">
        <f aca="false">IF(MIN(AJ48:AJ$65)&gt;0,A48,"")</f>
        <v/>
      </c>
    </row>
    <row r="49" customFormat="false" ht="15" hidden="false" customHeight="false" outlineLevel="0" collapsed="false">
      <c r="A49" s="28" t="n">
        <v>44</v>
      </c>
      <c r="B49" s="28" t="n">
        <f aca="false">INT((A49-1)/12)+1</f>
        <v>4</v>
      </c>
      <c r="C49" s="12" t="s">
        <v>462</v>
      </c>
      <c r="D49" s="15" t="n">
        <f aca="false">(1+Допущения!$F$11)^(B49-1)</f>
        <v>1.259712</v>
      </c>
      <c r="E49" s="15" t="n">
        <f aca="false">(1+Допущения!$F$12)^(B49-1)</f>
        <v>1.225043</v>
      </c>
      <c r="F49" s="17" t="n">
        <f aca="false">Допущения!$F$71*E49</f>
        <v>3020.56402424</v>
      </c>
      <c r="G49" s="17" t="n">
        <f aca="false">MIN(G48*(1+Допущения!$F$33),Допущения!$F$34)</f>
        <v>2500000</v>
      </c>
      <c r="H49" s="25" t="n">
        <f aca="false">MIN(Допущения!$F$30,G49/Допущения!$F$29)</f>
        <v>300</v>
      </c>
      <c r="I49" s="25" t="n">
        <f aca="false">MAX(0,G49-H49*Допущения!$F$29)/Допущения!$F$31</f>
        <v>341.666666666667</v>
      </c>
      <c r="J49" s="25" t="n">
        <f aca="false">IF(A49&gt;=Допущения!$F$35,Допущения!$F$36,0)</f>
        <v>40</v>
      </c>
      <c r="K49" s="25" t="n">
        <f aca="false">H49+I49+J49</f>
        <v>681.666666666667</v>
      </c>
      <c r="L49" s="25" t="n">
        <f aca="false">(L48-K48)*(1-Допущения!$F$44)+K48*(1-Допущения!$F$43)+K49</f>
        <v>7802.28372388553</v>
      </c>
      <c r="M49" s="25" t="n">
        <f aca="false">IF(A49&gt;=Допущения!$F$38,Допущения!$F$73/Допущения!$F$42*MIN(Допущения!$F$42,A49-Допущения!$F$38+1),0)</f>
        <v>60</v>
      </c>
      <c r="N49" s="25" t="n">
        <f aca="false">N48*(1-Допущения!$F$45)+M49</f>
        <v>1579.16011782391</v>
      </c>
      <c r="O49" s="25" t="n">
        <f aca="false">L49+N49</f>
        <v>9381.44384170944</v>
      </c>
      <c r="P49" s="25" t="n">
        <f aca="false">L49*Допущения!$F$25</f>
        <v>2340.68511716566</v>
      </c>
      <c r="Q49" s="25" t="n">
        <f aca="false">L49*(1-Допущения!$F$25)+N49</f>
        <v>7040.75872454378</v>
      </c>
      <c r="R49" s="17" t="n">
        <f aca="false">MAX(Допущения!$F$18,ROUNDUP(Q49/Допущения!$F$68+P49/Допущения!$F$69,0))</f>
        <v>136</v>
      </c>
      <c r="S49" s="17" t="n">
        <f aca="false">ROUNDUP(R49/Допущения!$F$48,0)</f>
        <v>14</v>
      </c>
      <c r="T49" s="17" t="n">
        <f aca="false">L49*F49/(1+Допущения!$F$6)</f>
        <v>19317456.9862967</v>
      </c>
      <c r="U49" s="17" t="n">
        <f aca="false">N49*Допущения!$F$28*E49/(1+Допущения!$F$6)</f>
        <v>2378531.61666314</v>
      </c>
      <c r="V49" s="17" t="n">
        <f aca="false">O49*Допущения!$F$26*Допущения!$F$27/(1+Допущения!$F$6)</f>
        <v>1153456.21004624</v>
      </c>
      <c r="W49" s="17" t="n">
        <f aca="false">T49+U49+V49</f>
        <v>22849444.813006</v>
      </c>
      <c r="X49" s="17" t="n">
        <f aca="false">J49*Допущения!$F$37</f>
        <v>20000</v>
      </c>
      <c r="Y49" s="17" t="n">
        <f aca="false">(R49*Допущения!$F$47+S49*Допущения!$F$49)*D49*Допущения!$F$9</f>
        <v>21945140.42112</v>
      </c>
      <c r="Z49" s="17" t="n">
        <f aca="false">(MAX(0,R49-R48)+R49*Допущения!$F$50/12)*Допущения!$F$51*D49</f>
        <v>527189.472</v>
      </c>
      <c r="AA49" s="17" t="n">
        <f aca="false">O49*(Допущения!$F$53+Допущения!$F$54)+(L49*F49+N49*Допущения!$F$28*E49)*Допущения!$F$13</f>
        <v>4651186.4192817</v>
      </c>
      <c r="AB49" s="17" t="n">
        <f aca="false">(R49+S49)*Допущения!$F$52</f>
        <v>405000</v>
      </c>
      <c r="AC49" s="17" t="n">
        <f aca="false">SUMPRODUCT(Допущения!$B$84:$B$91,Допущения!$C$84:$C$91,--(Допущения!$D$84:$D$91&lt;=A49))*D49*Допущения!$F$9</f>
        <v>2476618.98624</v>
      </c>
      <c r="AD49" s="17" t="n">
        <f aca="false">(AC49+Y49)*Допущения!$F$14</f>
        <v>2442175.940736</v>
      </c>
      <c r="AE49" s="17" t="n">
        <f aca="false">Допущения!$F$55+Допущения!$F$56*O49/1000+Допущения!$F$57</f>
        <v>215051.550733676</v>
      </c>
      <c r="AF49" s="17" t="n">
        <f aca="false">SUMIF(Допущения!$B$95:$B$103,A49,Допущения!$C$95:$C$103)</f>
        <v>0</v>
      </c>
      <c r="AG49" s="17" t="n">
        <v>0</v>
      </c>
      <c r="AH49" s="17" t="n">
        <f aca="false">G49+SUM(X49:AG49)</f>
        <v>35182362.7901114</v>
      </c>
      <c r="AI49" s="17" t="n">
        <f aca="false">W49-AH49</f>
        <v>-12332917.9771053</v>
      </c>
      <c r="AJ49" s="17" t="n">
        <f aca="false">AJ48+AI49</f>
        <v>-340579175.267381</v>
      </c>
      <c r="AK49" s="17" t="n">
        <f aca="false">O49*Допущения!$F$58*Допущения!$F$59</f>
        <v>309587.646776412</v>
      </c>
      <c r="AL49" s="17" t="n">
        <f aca="false">T49*Допущения!$F$72</f>
        <v>973989.427880504</v>
      </c>
      <c r="AM49" s="17" t="n">
        <f aca="false">IF(MOD(A49,12)=0,INDEX($F$70:$F$74,B49),0)</f>
        <v>0</v>
      </c>
      <c r="AN49" s="17" t="n">
        <f aca="false">AI49-AM49</f>
        <v>-12332917.9771053</v>
      </c>
      <c r="AO49" s="26" t="n">
        <f aca="false">1/(1+Допущения!$F$74)^A49</f>
        <v>0.482333345690631</v>
      </c>
      <c r="AP49" s="21" t="str">
        <f aca="false">IF(AND(A49&gt;Допущения!$F$19,MIN(AI49:AI$65)&gt;0),A49,"")</f>
        <v/>
      </c>
      <c r="AQ49" s="21" t="str">
        <f aca="false">IF(MIN(AJ49:AJ$65)&gt;0,A49,"")</f>
        <v/>
      </c>
    </row>
    <row r="50" customFormat="false" ht="15" hidden="false" customHeight="false" outlineLevel="0" collapsed="false">
      <c r="A50" s="28" t="n">
        <v>45</v>
      </c>
      <c r="B50" s="28" t="n">
        <f aca="false">INT((A50-1)/12)+1</f>
        <v>4</v>
      </c>
      <c r="C50" s="12" t="s">
        <v>462</v>
      </c>
      <c r="D50" s="15" t="n">
        <f aca="false">(1+Допущения!$F$11)^(B50-1)</f>
        <v>1.259712</v>
      </c>
      <c r="E50" s="15" t="n">
        <f aca="false">(1+Допущения!$F$12)^(B50-1)</f>
        <v>1.225043</v>
      </c>
      <c r="F50" s="17" t="n">
        <f aca="false">Допущения!$F$71*E50</f>
        <v>3020.56402424</v>
      </c>
      <c r="G50" s="17" t="n">
        <f aca="false">MIN(G49*(1+Допущения!$F$33),Допущения!$F$34)</f>
        <v>2500000</v>
      </c>
      <c r="H50" s="25" t="n">
        <f aca="false">MIN(Допущения!$F$30,G50/Допущения!$F$29)</f>
        <v>300</v>
      </c>
      <c r="I50" s="25" t="n">
        <f aca="false">MAX(0,G50-H50*Допущения!$F$29)/Допущения!$F$31</f>
        <v>341.666666666667</v>
      </c>
      <c r="J50" s="25" t="n">
        <f aca="false">IF(A50&gt;=Допущения!$F$35,Допущения!$F$36,0)</f>
        <v>40</v>
      </c>
      <c r="K50" s="25" t="n">
        <f aca="false">H50+I50+J50</f>
        <v>681.666666666667</v>
      </c>
      <c r="L50" s="25" t="n">
        <f aca="false">(L49-K49)*(1-Допущения!$F$44)+K49*(1-Допущения!$F$43)+K50</f>
        <v>7886.2967004524</v>
      </c>
      <c r="M50" s="25" t="n">
        <f aca="false">IF(A50&gt;=Допущения!$F$38,Допущения!$F$73/Допущения!$F$42*MIN(Допущения!$F$42,A50-Допущения!$F$38+1),0)</f>
        <v>60</v>
      </c>
      <c r="N50" s="25" t="n">
        <f aca="false">N49*(1-Допущения!$F$45)+M50</f>
        <v>1607.57691546743</v>
      </c>
      <c r="O50" s="25" t="n">
        <f aca="false">L50+N50</f>
        <v>9493.87361591983</v>
      </c>
      <c r="P50" s="25" t="n">
        <f aca="false">L50*Допущения!$F$25</f>
        <v>2365.88901013572</v>
      </c>
      <c r="Q50" s="25" t="n">
        <f aca="false">L50*(1-Допущения!$F$25)+N50</f>
        <v>7127.98460578411</v>
      </c>
      <c r="R50" s="17" t="n">
        <f aca="false">MAX(Допущения!$F$18,ROUNDUP(Q50/Допущения!$F$68+P50/Допущения!$F$69,0))</f>
        <v>137</v>
      </c>
      <c r="S50" s="17" t="n">
        <f aca="false">ROUNDUP(R50/Допущения!$F$48,0)</f>
        <v>14</v>
      </c>
      <c r="T50" s="17" t="n">
        <f aca="false">L50*F50/(1+Допущения!$F$6)</f>
        <v>19525462.3753026</v>
      </c>
      <c r="U50" s="17" t="n">
        <f aca="false">N50*Допущения!$F$28*E50/(1+Допущения!$F$6)</f>
        <v>2421333.00892004</v>
      </c>
      <c r="V50" s="17" t="n">
        <f aca="false">O50*Допущения!$F$26*Допущения!$F$27/(1+Допущения!$F$6)</f>
        <v>1167279.54294096</v>
      </c>
      <c r="W50" s="17" t="n">
        <f aca="false">T50+U50+V50</f>
        <v>23114074.9271636</v>
      </c>
      <c r="X50" s="17" t="n">
        <f aca="false">J50*Допущения!$F$37</f>
        <v>20000</v>
      </c>
      <c r="Y50" s="17" t="n">
        <f aca="false">(R50*Допущения!$F$47+S50*Допущения!$F$49)*D50*Допущения!$F$9</f>
        <v>22084552.74816</v>
      </c>
      <c r="Z50" s="17" t="n">
        <f aca="false">(MAX(0,R50-R49)+R50*Допущения!$F$50/12)*Допущения!$F$51*D50</f>
        <v>432002.484</v>
      </c>
      <c r="AA50" s="17" t="n">
        <f aca="false">O50*(Допущения!$F$53+Допущения!$F$54)+(L50*F50+N50*Допущения!$F$28*E50)*Допущения!$F$13</f>
        <v>4706725.38572185</v>
      </c>
      <c r="AB50" s="17" t="n">
        <f aca="false">(R50+S50)*Допущения!$F$52</f>
        <v>407700</v>
      </c>
      <c r="AC50" s="17" t="n">
        <f aca="false">SUMPRODUCT(Допущения!$B$84:$B$91,Допущения!$C$84:$C$91,--(Допущения!$D$84:$D$91&lt;=A50))*D50*Допущения!$F$9</f>
        <v>2476618.98624</v>
      </c>
      <c r="AD50" s="17" t="n">
        <f aca="false">(AC50+Y50)*Допущения!$F$14</f>
        <v>2456117.17344</v>
      </c>
      <c r="AE50" s="17" t="n">
        <f aca="false">Допущения!$F$55+Допущения!$F$56*O50/1000+Допущения!$F$57</f>
        <v>215950.988927359</v>
      </c>
      <c r="AF50" s="17" t="n">
        <f aca="false">SUMIF(Допущения!$B$95:$B$103,A50,Допущения!$C$95:$C$103)</f>
        <v>0</v>
      </c>
      <c r="AG50" s="17" t="n">
        <v>0</v>
      </c>
      <c r="AH50" s="17" t="n">
        <f aca="false">G50+SUM(X50:AG50)</f>
        <v>35299667.7664892</v>
      </c>
      <c r="AI50" s="17" t="n">
        <f aca="false">W50-AH50</f>
        <v>-12185592.8393257</v>
      </c>
      <c r="AJ50" s="17" t="n">
        <f aca="false">AJ49+AI50</f>
        <v>-352764768.106707</v>
      </c>
      <c r="AK50" s="17" t="n">
        <f aca="false">O50*Допущения!$F$58*Допущения!$F$59</f>
        <v>313297.829325354</v>
      </c>
      <c r="AL50" s="17" t="n">
        <f aca="false">T50*Допущения!$F$72</f>
        <v>984477.094553071</v>
      </c>
      <c r="AM50" s="17" t="n">
        <f aca="false">IF(MOD(A50,12)=0,INDEX($F$70:$F$74,B50),0)</f>
        <v>0</v>
      </c>
      <c r="AN50" s="17" t="n">
        <f aca="false">AI50-AM50</f>
        <v>-12185592.8393257</v>
      </c>
      <c r="AO50" s="26" t="n">
        <f aca="false">1/(1+Допущения!$F$74)^A50</f>
        <v>0.474406504545011</v>
      </c>
      <c r="AP50" s="21" t="str">
        <f aca="false">IF(AND(A50&gt;Допущения!$F$19,MIN(AI50:AI$65)&gt;0),A50,"")</f>
        <v/>
      </c>
      <c r="AQ50" s="21" t="str">
        <f aca="false">IF(MIN(AJ50:AJ$65)&gt;0,A50,"")</f>
        <v/>
      </c>
    </row>
    <row r="51" customFormat="false" ht="15" hidden="false" customHeight="false" outlineLevel="0" collapsed="false">
      <c r="A51" s="28" t="n">
        <v>46</v>
      </c>
      <c r="B51" s="28" t="n">
        <f aca="false">INT((A51-1)/12)+1</f>
        <v>4</v>
      </c>
      <c r="C51" s="12" t="s">
        <v>462</v>
      </c>
      <c r="D51" s="15" t="n">
        <f aca="false">(1+Допущения!$F$11)^(B51-1)</f>
        <v>1.259712</v>
      </c>
      <c r="E51" s="15" t="n">
        <f aca="false">(1+Допущения!$F$12)^(B51-1)</f>
        <v>1.225043</v>
      </c>
      <c r="F51" s="17" t="n">
        <f aca="false">Допущения!$F$71*E51</f>
        <v>3020.56402424</v>
      </c>
      <c r="G51" s="17" t="n">
        <f aca="false">MIN(G50*(1+Допущения!$F$33),Допущения!$F$34)</f>
        <v>2500000</v>
      </c>
      <c r="H51" s="25" t="n">
        <f aca="false">MIN(Допущения!$F$30,G51/Допущения!$F$29)</f>
        <v>300</v>
      </c>
      <c r="I51" s="25" t="n">
        <f aca="false">MAX(0,G51-H51*Допущения!$F$29)/Допущения!$F$31</f>
        <v>341.666666666667</v>
      </c>
      <c r="J51" s="25" t="n">
        <f aca="false">IF(A51&gt;=Допущения!$F$35,Допущения!$F$36,0)</f>
        <v>40</v>
      </c>
      <c r="K51" s="25" t="n">
        <f aca="false">H51+I51+J51</f>
        <v>681.666666666667</v>
      </c>
      <c r="L51" s="25" t="n">
        <f aca="false">(L50-K50)*(1-Допущения!$F$44)+K50*(1-Допущения!$F$43)+K51</f>
        <v>7965.26889842525</v>
      </c>
      <c r="M51" s="25" t="n">
        <f aca="false">IF(A51&gt;=Допущения!$F$38,Допущения!$F$73/Допущения!$F$42*MIN(Допущения!$F$42,A51-Допущения!$F$38+1),0)</f>
        <v>60</v>
      </c>
      <c r="N51" s="25" t="n">
        <f aca="false">N50*(1-Допущения!$F$45)+M51</f>
        <v>1635.42537715808</v>
      </c>
      <c r="O51" s="25" t="n">
        <f aca="false">L51+N51</f>
        <v>9600.69427558334</v>
      </c>
      <c r="P51" s="25" t="n">
        <f aca="false">L51*Допущения!$F$25</f>
        <v>2389.58066952758</v>
      </c>
      <c r="Q51" s="25" t="n">
        <f aca="false">L51*(1-Допущения!$F$25)+N51</f>
        <v>7211.11360605576</v>
      </c>
      <c r="R51" s="17" t="n">
        <f aca="false">MAX(Допущения!$F$18,ROUNDUP(Q51/Допущения!$F$68+P51/Допущения!$F$69,0))</f>
        <v>139</v>
      </c>
      <c r="S51" s="17" t="n">
        <f aca="false">ROUNDUP(R51/Допущения!$F$48,0)</f>
        <v>14</v>
      </c>
      <c r="T51" s="17" t="n">
        <f aca="false">L51*F51/(1+Допущения!$F$6)</f>
        <v>19720987.4409681</v>
      </c>
      <c r="U51" s="17" t="n">
        <f aca="false">N51*Допущения!$F$28*E51/(1+Допущения!$F$6)</f>
        <v>2463278.37333181</v>
      </c>
      <c r="V51" s="17" t="n">
        <f aca="false">O51*Допущения!$F$26*Допущения!$F$27/(1+Допущения!$F$6)</f>
        <v>1180413.23060451</v>
      </c>
      <c r="W51" s="17" t="n">
        <f aca="false">T51+U51+V51</f>
        <v>23364679.0449044</v>
      </c>
      <c r="X51" s="17" t="n">
        <f aca="false">J51*Допущения!$F$37</f>
        <v>20000</v>
      </c>
      <c r="Y51" s="17" t="n">
        <f aca="false">(R51*Допущения!$F$47+S51*Допущения!$F$49)*D51*Допущения!$F$9</f>
        <v>22363377.40224</v>
      </c>
      <c r="Z51" s="17" t="n">
        <f aca="false">(MAX(0,R51-R50)+R51*Допущения!$F$50/12)*Допущения!$F$51*D51</f>
        <v>534511.548</v>
      </c>
      <c r="AA51" s="17" t="n">
        <f aca="false">O51*(Допущения!$F$53+Допущения!$F$54)+(L51*F51+N51*Допущения!$F$28*E51)*Допущения!$F$13</f>
        <v>4759475.42991661</v>
      </c>
      <c r="AB51" s="17" t="n">
        <f aca="false">(R51+S51)*Допущения!$F$52</f>
        <v>413100</v>
      </c>
      <c r="AC51" s="17" t="n">
        <f aca="false">SUMPRODUCT(Допущения!$B$84:$B$91,Допущения!$C$84:$C$91,--(Допущения!$D$84:$D$91&lt;=A51))*D51*Допущения!$F$9</f>
        <v>2476618.98624</v>
      </c>
      <c r="AD51" s="17" t="n">
        <f aca="false">(AC51+Y51)*Допущения!$F$14</f>
        <v>2483999.638848</v>
      </c>
      <c r="AE51" s="17" t="n">
        <f aca="false">Допущения!$F$55+Допущения!$F$56*O51/1000+Допущения!$F$57</f>
        <v>216805.554204667</v>
      </c>
      <c r="AF51" s="17" t="n">
        <f aca="false">SUMIF(Допущения!$B$95:$B$103,A51,Допущения!$C$95:$C$103)</f>
        <v>0</v>
      </c>
      <c r="AG51" s="17" t="n">
        <v>0</v>
      </c>
      <c r="AH51" s="17" t="n">
        <f aca="false">G51+SUM(X51:AG51)</f>
        <v>35767888.5594493</v>
      </c>
      <c r="AI51" s="17" t="n">
        <f aca="false">W51-AH51</f>
        <v>-12403209.5145449</v>
      </c>
      <c r="AJ51" s="17" t="n">
        <f aca="false">AJ50+AI51</f>
        <v>-365167977.621252</v>
      </c>
      <c r="AK51" s="17" t="n">
        <f aca="false">O51*Допущения!$F$58*Допущения!$F$59</f>
        <v>316822.91109425</v>
      </c>
      <c r="AL51" s="17" t="n">
        <f aca="false">T51*Допущения!$F$72</f>
        <v>994335.501225283</v>
      </c>
      <c r="AM51" s="17" t="n">
        <f aca="false">IF(MOD(A51,12)=0,INDEX($F$70:$F$74,B51),0)</f>
        <v>0</v>
      </c>
      <c r="AN51" s="17" t="n">
        <f aca="false">AI51-AM51</f>
        <v>-12403209.5145449</v>
      </c>
      <c r="AO51" s="26" t="n">
        <f aca="false">1/(1+Допущения!$F$74)^A51</f>
        <v>0.466609935981848</v>
      </c>
      <c r="AP51" s="21" t="str">
        <f aca="false">IF(AND(A51&gt;Допущения!$F$19,MIN(AI51:AI$65)&gt;0),A51,"")</f>
        <v/>
      </c>
      <c r="AQ51" s="21" t="str">
        <f aca="false">IF(MIN(AJ51:AJ$65)&gt;0,A51,"")</f>
        <v/>
      </c>
    </row>
    <row r="52" customFormat="false" ht="15" hidden="false" customHeight="false" outlineLevel="0" collapsed="false">
      <c r="A52" s="28" t="n">
        <v>47</v>
      </c>
      <c r="B52" s="28" t="n">
        <f aca="false">INT((A52-1)/12)+1</f>
        <v>4</v>
      </c>
      <c r="C52" s="12" t="s">
        <v>462</v>
      </c>
      <c r="D52" s="15" t="n">
        <f aca="false">(1+Допущения!$F$11)^(B52-1)</f>
        <v>1.259712</v>
      </c>
      <c r="E52" s="15" t="n">
        <f aca="false">(1+Допущения!$F$12)^(B52-1)</f>
        <v>1.225043</v>
      </c>
      <c r="F52" s="17" t="n">
        <f aca="false">Допущения!$F$71*E52</f>
        <v>3020.56402424</v>
      </c>
      <c r="G52" s="17" t="n">
        <f aca="false">MIN(G51*(1+Допущения!$F$33),Допущения!$F$34)</f>
        <v>2500000</v>
      </c>
      <c r="H52" s="25" t="n">
        <f aca="false">MIN(Допущения!$F$30,G52/Допущения!$F$29)</f>
        <v>300</v>
      </c>
      <c r="I52" s="25" t="n">
        <f aca="false">MAX(0,G52-H52*Допущения!$F$29)/Допущения!$F$31</f>
        <v>341.666666666667</v>
      </c>
      <c r="J52" s="25" t="n">
        <f aca="false">IF(A52&gt;=Допущения!$F$35,Допущения!$F$36,0)</f>
        <v>40</v>
      </c>
      <c r="K52" s="25" t="n">
        <f aca="false">H52+I52+J52</f>
        <v>681.666666666667</v>
      </c>
      <c r="L52" s="25" t="n">
        <f aca="false">(L51-K51)*(1-Допущения!$F$44)+K51*(1-Допущения!$F$43)+K52</f>
        <v>8039.50276451974</v>
      </c>
      <c r="M52" s="25" t="n">
        <f aca="false">IF(A52&gt;=Допущения!$F$38,Допущения!$F$73/Допущения!$F$42*MIN(Допущения!$F$42,A52-Допущения!$F$38+1),0)</f>
        <v>60</v>
      </c>
      <c r="N52" s="25" t="n">
        <f aca="false">N51*(1-Допущения!$F$45)+M52</f>
        <v>1662.71686961492</v>
      </c>
      <c r="O52" s="25" t="n">
        <f aca="false">L52+N52</f>
        <v>9702.21963413466</v>
      </c>
      <c r="P52" s="25" t="n">
        <f aca="false">L52*Допущения!$F$25</f>
        <v>2411.85082935592</v>
      </c>
      <c r="Q52" s="25" t="n">
        <f aca="false">L52*(1-Допущения!$F$25)+N52</f>
        <v>7290.36880477874</v>
      </c>
      <c r="R52" s="17" t="n">
        <f aca="false">MAX(Допущения!$F$18,ROUNDUP(Q52/Допущения!$F$68+P52/Допущения!$F$69,0))</f>
        <v>140</v>
      </c>
      <c r="S52" s="17" t="n">
        <f aca="false">ROUNDUP(R52/Допущения!$F$48,0)</f>
        <v>14</v>
      </c>
      <c r="T52" s="17" t="n">
        <f aca="false">L52*F52/(1+Допущения!$F$6)</f>
        <v>19904781.0026937</v>
      </c>
      <c r="U52" s="17" t="n">
        <f aca="false">N52*Допущения!$F$28*E52/(1+Допущения!$F$6)</f>
        <v>2504384.83045534</v>
      </c>
      <c r="V52" s="17" t="n">
        <f aca="false">O52*Допущения!$F$26*Допущения!$F$27/(1+Допущения!$F$6)</f>
        <v>1192895.8566559</v>
      </c>
      <c r="W52" s="17" t="n">
        <f aca="false">T52+U52+V52</f>
        <v>23602061.689805</v>
      </c>
      <c r="X52" s="17" t="n">
        <f aca="false">J52*Допущения!$F$37</f>
        <v>20000</v>
      </c>
      <c r="Y52" s="17" t="n">
        <f aca="false">(R52*Допущения!$F$47+S52*Допущения!$F$49)*D52*Допущения!$F$9</f>
        <v>22502789.72928</v>
      </c>
      <c r="Z52" s="17" t="n">
        <f aca="false">(MAX(0,R52-R51)+R52*Допущения!$F$50/12)*Допущения!$F$51*D52</f>
        <v>439324.56</v>
      </c>
      <c r="AA52" s="17" t="n">
        <f aca="false">O52*(Допущения!$F$53+Допущения!$F$54)+(L52*F52+N52*Допущения!$F$28*E52)*Допущения!$F$13</f>
        <v>4809593.01888588</v>
      </c>
      <c r="AB52" s="17" t="n">
        <f aca="false">(R52+S52)*Допущения!$F$52</f>
        <v>415800</v>
      </c>
      <c r="AC52" s="17" t="n">
        <f aca="false">SUMPRODUCT(Допущения!$B$84:$B$91,Допущения!$C$84:$C$91,--(Допущения!$D$84:$D$91&lt;=A52))*D52*Допущения!$F$9</f>
        <v>2476618.98624</v>
      </c>
      <c r="AD52" s="17" t="n">
        <f aca="false">(AC52+Y52)*Допущения!$F$14</f>
        <v>2497940.871552</v>
      </c>
      <c r="AE52" s="17" t="n">
        <f aca="false">Допущения!$F$55+Допущения!$F$56*O52/1000+Допущения!$F$57</f>
        <v>217617.757073077</v>
      </c>
      <c r="AF52" s="17" t="n">
        <f aca="false">SUMIF(Допущения!$B$95:$B$103,A52,Допущения!$C$95:$C$103)</f>
        <v>0</v>
      </c>
      <c r="AG52" s="17" t="n">
        <v>0</v>
      </c>
      <c r="AH52" s="17" t="n">
        <f aca="false">G52+SUM(X52:AG52)</f>
        <v>35879684.923031</v>
      </c>
      <c r="AI52" s="17" t="n">
        <f aca="false">W52-AH52</f>
        <v>-12277623.233226</v>
      </c>
      <c r="AJ52" s="17" t="n">
        <f aca="false">AJ51+AI52</f>
        <v>-377445600.854478</v>
      </c>
      <c r="AK52" s="17" t="n">
        <f aca="false">O52*Допущения!$F$58*Допущения!$F$59</f>
        <v>320173.247926444</v>
      </c>
      <c r="AL52" s="17" t="n">
        <f aca="false">T52*Допущения!$F$72</f>
        <v>1003602.40349716</v>
      </c>
      <c r="AM52" s="17" t="n">
        <f aca="false">IF(MOD(A52,12)=0,INDEX($F$70:$F$74,B52),0)</f>
        <v>0</v>
      </c>
      <c r="AN52" s="17" t="n">
        <f aca="false">AI52-AM52</f>
        <v>-12277623.233226</v>
      </c>
      <c r="AO52" s="26" t="n">
        <f aca="false">1/(1+Допущения!$F$74)^A52</f>
        <v>0.458941499054271</v>
      </c>
      <c r="AP52" s="21" t="str">
        <f aca="false">IF(AND(A52&gt;Допущения!$F$19,MIN(AI52:AI$65)&gt;0),A52,"")</f>
        <v/>
      </c>
      <c r="AQ52" s="21" t="str">
        <f aca="false">IF(MIN(AJ52:AJ$65)&gt;0,A52,"")</f>
        <v/>
      </c>
    </row>
    <row r="53" customFormat="false" ht="15" hidden="false" customHeight="false" outlineLevel="0" collapsed="false">
      <c r="A53" s="28" t="n">
        <v>48</v>
      </c>
      <c r="B53" s="28" t="n">
        <f aca="false">INT((A53-1)/12)+1</f>
        <v>4</v>
      </c>
      <c r="C53" s="12" t="s">
        <v>462</v>
      </c>
      <c r="D53" s="15" t="n">
        <f aca="false">(1+Допущения!$F$11)^(B53-1)</f>
        <v>1.259712</v>
      </c>
      <c r="E53" s="15" t="n">
        <f aca="false">(1+Допущения!$F$12)^(B53-1)</f>
        <v>1.225043</v>
      </c>
      <c r="F53" s="17" t="n">
        <f aca="false">Допущения!$F$71*E53</f>
        <v>3020.56402424</v>
      </c>
      <c r="G53" s="17" t="n">
        <f aca="false">MIN(G52*(1+Допущения!$F$33),Допущения!$F$34)</f>
        <v>2500000</v>
      </c>
      <c r="H53" s="25" t="n">
        <f aca="false">MIN(Допущения!$F$30,G53/Допущения!$F$29)</f>
        <v>300</v>
      </c>
      <c r="I53" s="25" t="n">
        <f aca="false">MAX(0,G53-H53*Допущения!$F$29)/Допущения!$F$31</f>
        <v>341.666666666667</v>
      </c>
      <c r="J53" s="25" t="n">
        <f aca="false">IF(A53&gt;=Допущения!$F$35,Допущения!$F$36,0)</f>
        <v>40</v>
      </c>
      <c r="K53" s="25" t="n">
        <f aca="false">H53+I53+J53</f>
        <v>681.666666666667</v>
      </c>
      <c r="L53" s="25" t="n">
        <f aca="false">(L52-K52)*(1-Допущения!$F$44)+K52*(1-Допущения!$F$43)+K53</f>
        <v>8109.28259864855</v>
      </c>
      <c r="M53" s="25" t="n">
        <f aca="false">IF(A53&gt;=Допущения!$F$38,Допущения!$F$73/Допущения!$F$42*MIN(Допущения!$F$42,A53-Допущения!$F$38+1),0)</f>
        <v>60</v>
      </c>
      <c r="N53" s="25" t="n">
        <f aca="false">N52*(1-Допущения!$F$45)+M53</f>
        <v>1689.46253222262</v>
      </c>
      <c r="O53" s="25" t="n">
        <f aca="false">L53+N53</f>
        <v>9798.74513087118</v>
      </c>
      <c r="P53" s="25" t="n">
        <f aca="false">L53*Допущения!$F$25</f>
        <v>2432.78477959457</v>
      </c>
      <c r="Q53" s="25" t="n">
        <f aca="false">L53*(1-Допущения!$F$25)+N53</f>
        <v>7365.96035127661</v>
      </c>
      <c r="R53" s="17" t="n">
        <f aca="false">MAX(Допущения!$F$18,ROUNDUP(Q53/Допущения!$F$68+P53/Допущения!$F$69,0))</f>
        <v>141</v>
      </c>
      <c r="S53" s="17" t="n">
        <f aca="false">ROUNDUP(R53/Допущения!$F$48,0)</f>
        <v>15</v>
      </c>
      <c r="T53" s="17" t="n">
        <f aca="false">L53*F53/(1+Допущения!$F$6)</f>
        <v>20077546.9507158</v>
      </c>
      <c r="U53" s="17" t="n">
        <f aca="false">N53*Допущения!$F$28*E53/(1+Допущения!$F$6)</f>
        <v>2544669.15843639</v>
      </c>
      <c r="V53" s="17" t="n">
        <f aca="false">O53*Допущения!$F$26*Допущения!$F$27/(1+Допущения!$F$6)</f>
        <v>1204763.74559892</v>
      </c>
      <c r="W53" s="17" t="n">
        <f aca="false">T53+U53+V53</f>
        <v>23826979.8547511</v>
      </c>
      <c r="X53" s="17" t="n">
        <f aca="false">J53*Допущения!$F$37</f>
        <v>20000</v>
      </c>
      <c r="Y53" s="17" t="n">
        <f aca="false">(R53*Допущения!$F$47+S53*Допущения!$F$49)*D53*Допущения!$F$9</f>
        <v>22855420.90944</v>
      </c>
      <c r="Z53" s="17" t="n">
        <f aca="false">(MAX(0,R53-R52)+R53*Допущения!$F$50/12)*Допущения!$F$51*D53</f>
        <v>441765.252</v>
      </c>
      <c r="AA53" s="17" t="n">
        <f aca="false">O53*(Допущения!$F$53+Допущения!$F$54)+(L53*F53+N53*Допущения!$F$28*E53)*Допущения!$F$13</f>
        <v>4857225.44899466</v>
      </c>
      <c r="AB53" s="17" t="n">
        <f aca="false">(R53+S53)*Допущения!$F$52</f>
        <v>421200</v>
      </c>
      <c r="AC53" s="17" t="n">
        <f aca="false">SUMPRODUCT(Допущения!$B$84:$B$91,Допущения!$C$84:$C$91,--(Допущения!$D$84:$D$91&lt;=A53))*D53*Допущения!$F$9</f>
        <v>2476618.98624</v>
      </c>
      <c r="AD53" s="17" t="n">
        <f aca="false">(AC53+Y53)*Допущения!$F$14</f>
        <v>2533203.989568</v>
      </c>
      <c r="AE53" s="17" t="n">
        <f aca="false">Допущения!$F$55+Допущения!$F$56*O53/1000+Допущения!$F$57</f>
        <v>218389.961046969</v>
      </c>
      <c r="AF53" s="17" t="n">
        <f aca="false">SUMIF(Допущения!$B$95:$B$103,A53,Допущения!$C$95:$C$103)</f>
        <v>0</v>
      </c>
      <c r="AG53" s="17" t="n">
        <v>0</v>
      </c>
      <c r="AH53" s="17" t="n">
        <f aca="false">G53+SUM(X53:AG53)</f>
        <v>36323824.5472896</v>
      </c>
      <c r="AI53" s="17" t="n">
        <f aca="false">W53-AH53</f>
        <v>-12496844.6925385</v>
      </c>
      <c r="AJ53" s="17" t="n">
        <f aca="false">AJ52+AI53</f>
        <v>-389942445.547016</v>
      </c>
      <c r="AK53" s="17" t="n">
        <f aca="false">O53*Допущения!$F$58*Допущения!$F$59</f>
        <v>323358.589318749</v>
      </c>
      <c r="AL53" s="17" t="n">
        <f aca="false">T53*Допущения!$F$72</f>
        <v>1012313.29163273</v>
      </c>
      <c r="AM53" s="17" t="n">
        <f aca="false">IF(MOD(A53,12)=0,INDEX($F$70:$F$74,B53),0)</f>
        <v>0</v>
      </c>
      <c r="AN53" s="17" t="n">
        <f aca="false">AI53-AM53</f>
        <v>-12496844.6925385</v>
      </c>
      <c r="AO53" s="26" t="n">
        <f aca="false">1/(1+Допущения!$F$74)^A53</f>
        <v>0.451399088000507</v>
      </c>
      <c r="AP53" s="21" t="str">
        <f aca="false">IF(AND(A53&gt;Допущения!$F$19,MIN(AI53:AI$65)&gt;0),A53,"")</f>
        <v/>
      </c>
      <c r="AQ53" s="21" t="str">
        <f aca="false">IF(MIN(AJ53:AJ$65)&gt;0,A53,"")</f>
        <v/>
      </c>
    </row>
    <row r="54" customFormat="false" ht="15" hidden="false" customHeight="false" outlineLevel="0" collapsed="false">
      <c r="A54" s="28" t="n">
        <v>49</v>
      </c>
      <c r="B54" s="28" t="n">
        <f aca="false">INT((A54-1)/12)+1</f>
        <v>5</v>
      </c>
      <c r="C54" s="12" t="s">
        <v>462</v>
      </c>
      <c r="D54" s="15" t="n">
        <f aca="false">(1+Допущения!$F$11)^(B54-1)</f>
        <v>1.36048896</v>
      </c>
      <c r="E54" s="15" t="n">
        <f aca="false">(1+Допущения!$F$12)^(B54-1)</f>
        <v>1.31079601</v>
      </c>
      <c r="F54" s="17" t="n">
        <f aca="false">Допущения!$F$71*E54</f>
        <v>3232.0035059368</v>
      </c>
      <c r="G54" s="17" t="n">
        <f aca="false">MIN(G53*(1+Допущения!$F$33),Допущения!$F$34)</f>
        <v>2500000</v>
      </c>
      <c r="H54" s="25" t="n">
        <f aca="false">MIN(Допущения!$F$30,G54/Допущения!$F$29)</f>
        <v>300</v>
      </c>
      <c r="I54" s="25" t="n">
        <f aca="false">MAX(0,G54-H54*Допущения!$F$29)/Допущения!$F$31</f>
        <v>341.666666666667</v>
      </c>
      <c r="J54" s="25" t="n">
        <f aca="false">IF(A54&gt;=Допущения!$F$35,Допущения!$F$36,0)</f>
        <v>40</v>
      </c>
      <c r="K54" s="25" t="n">
        <f aca="false">H54+I54+J54</f>
        <v>681.666666666667</v>
      </c>
      <c r="L54" s="25" t="n">
        <f aca="false">(L53-K53)*(1-Допущения!$F$44)+K53*(1-Допущения!$F$43)+K54</f>
        <v>8174.87564272964</v>
      </c>
      <c r="M54" s="25" t="n">
        <f aca="false">IF(A54&gt;=Допущения!$F$38,Допущения!$F$73/Допущения!$F$42*MIN(Допущения!$F$42,A54-Допущения!$F$38+1),0)</f>
        <v>60</v>
      </c>
      <c r="N54" s="25" t="n">
        <f aca="false">N53*(1-Допущения!$F$45)+M54</f>
        <v>1715.67328157817</v>
      </c>
      <c r="O54" s="25" t="n">
        <f aca="false">L54+N54</f>
        <v>9890.54892430781</v>
      </c>
      <c r="P54" s="25" t="n">
        <f aca="false">L54*Допущения!$F$25</f>
        <v>2452.46269281889</v>
      </c>
      <c r="Q54" s="25" t="n">
        <f aca="false">L54*(1-Допущения!$F$25)+N54</f>
        <v>7438.08623148892</v>
      </c>
      <c r="R54" s="17" t="n">
        <f aca="false">MAX(Допущения!$F$18,ROUNDUP(Q54/Допущения!$F$68+P54/Допущения!$F$69,0))</f>
        <v>143</v>
      </c>
      <c r="S54" s="17" t="n">
        <f aca="false">ROUNDUP(R54/Допущения!$F$48,0)</f>
        <v>15</v>
      </c>
      <c r="T54" s="17" t="n">
        <f aca="false">L54*F54/(1+Допущения!$F$6)</f>
        <v>21656743.2277865</v>
      </c>
      <c r="U54" s="17" t="n">
        <f aca="false">N54*Допущения!$F$28*E54/(1+Допущения!$F$6)</f>
        <v>2765038.14584788</v>
      </c>
      <c r="V54" s="17" t="n">
        <f aca="false">O54*Допущения!$F$26*Допущения!$F$27/(1+Допущения!$F$6)</f>
        <v>1216051.09725096</v>
      </c>
      <c r="W54" s="17" t="n">
        <f aca="false">T54+U54+V54</f>
        <v>25637832.4708854</v>
      </c>
      <c r="X54" s="17" t="n">
        <f aca="false">J54*Допущения!$F$37</f>
        <v>20000</v>
      </c>
      <c r="Y54" s="17" t="n">
        <f aca="false">(R54*Допущения!$F$47+S54*Допущения!$F$49)*D54*Допущения!$F$9</f>
        <v>24984985.2086016</v>
      </c>
      <c r="Z54" s="17" t="n">
        <f aca="false">(MAX(0,R54-R53)+R54*Допущения!$F$50/12)*Допущения!$F$51*D54</f>
        <v>587816.26128</v>
      </c>
      <c r="AA54" s="17" t="n">
        <f aca="false">O54*(Допущения!$F$53+Допущения!$F$54)+(L54*F54+N54*Допущения!$F$28*E54)*Допущения!$F$13</f>
        <v>4937596.59028199</v>
      </c>
      <c r="AB54" s="17" t="n">
        <f aca="false">(R54+S54)*Допущения!$F$52</f>
        <v>426600</v>
      </c>
      <c r="AC54" s="17" t="n">
        <f aca="false">SUMPRODUCT(Допущения!$B$84:$B$91,Допущения!$C$84:$C$91,--(Допущения!$D$84:$D$91&lt;=A54))*D54*Допущения!$F$9</f>
        <v>2674748.5051392</v>
      </c>
      <c r="AD54" s="17" t="n">
        <f aca="false">(AC54+Y54)*Допущения!$F$14</f>
        <v>2765973.37137408</v>
      </c>
      <c r="AE54" s="17" t="n">
        <f aca="false">Допущения!$F$55+Допущения!$F$56*O54/1000+Допущения!$F$57</f>
        <v>219124.391394463</v>
      </c>
      <c r="AF54" s="17" t="n">
        <f aca="false">SUMIF(Допущения!$B$95:$B$103,A54,Допущения!$C$95:$C$103)</f>
        <v>0</v>
      </c>
      <c r="AG54" s="17" t="n">
        <v>0</v>
      </c>
      <c r="AH54" s="17" t="n">
        <f aca="false">G54+SUM(X54:AG54)</f>
        <v>39116844.3280713</v>
      </c>
      <c r="AI54" s="17" t="n">
        <f aca="false">W54-AH54</f>
        <v>-13479011.857186</v>
      </c>
      <c r="AJ54" s="17" t="n">
        <f aca="false">AJ53+AI54</f>
        <v>-403421457.404202</v>
      </c>
      <c r="AK54" s="17" t="n">
        <f aca="false">O54*Допущения!$F$58*Допущения!$F$59</f>
        <v>326388.114502158</v>
      </c>
      <c r="AL54" s="17" t="n">
        <f aca="false">T54*Допущения!$F$72</f>
        <v>1091936.63333377</v>
      </c>
      <c r="AM54" s="17" t="n">
        <f aca="false">IF(MOD(A54,12)=0,INDEX($F$70:$F$74,B54),0)</f>
        <v>0</v>
      </c>
      <c r="AN54" s="17" t="n">
        <f aca="false">AI54-AM54</f>
        <v>-13479011.857186</v>
      </c>
      <c r="AO54" s="26" t="n">
        <f aca="false">1/(1+Допущения!$F$74)^A54</f>
        <v>0.443980631665638</v>
      </c>
      <c r="AP54" s="21" t="str">
        <f aca="false">IF(AND(A54&gt;Допущения!$F$19,MIN(AI54:AI$65)&gt;0),A54,"")</f>
        <v/>
      </c>
      <c r="AQ54" s="21" t="str">
        <f aca="false">IF(MIN(AJ54:AJ$65)&gt;0,A54,"")</f>
        <v/>
      </c>
    </row>
    <row r="55" customFormat="false" ht="15" hidden="false" customHeight="false" outlineLevel="0" collapsed="false">
      <c r="A55" s="28" t="n">
        <v>50</v>
      </c>
      <c r="B55" s="28" t="n">
        <f aca="false">INT((A55-1)/12)+1</f>
        <v>5</v>
      </c>
      <c r="C55" s="12" t="s">
        <v>462</v>
      </c>
      <c r="D55" s="15" t="n">
        <f aca="false">(1+Допущения!$F$11)^(B55-1)</f>
        <v>1.36048896</v>
      </c>
      <c r="E55" s="15" t="n">
        <f aca="false">(1+Допущения!$F$12)^(B55-1)</f>
        <v>1.31079601</v>
      </c>
      <c r="F55" s="17" t="n">
        <f aca="false">Допущения!$F$71*E55</f>
        <v>3232.0035059368</v>
      </c>
      <c r="G55" s="17" t="n">
        <f aca="false">MIN(G54*(1+Допущения!$F$33),Допущения!$F$34)</f>
        <v>2500000</v>
      </c>
      <c r="H55" s="25" t="n">
        <f aca="false">MIN(Допущения!$F$30,G55/Допущения!$F$29)</f>
        <v>300</v>
      </c>
      <c r="I55" s="25" t="n">
        <f aca="false">MAX(0,G55-H55*Допущения!$F$29)/Допущения!$F$31</f>
        <v>341.666666666667</v>
      </c>
      <c r="J55" s="25" t="n">
        <f aca="false">IF(A55&gt;=Допущения!$F$35,Допущения!$F$36,0)</f>
        <v>40</v>
      </c>
      <c r="K55" s="25" t="n">
        <f aca="false">H55+I55+J55</f>
        <v>681.666666666667</v>
      </c>
      <c r="L55" s="25" t="n">
        <f aca="false">(L54-K54)*(1-Допущения!$F$44)+K54*(1-Допущения!$F$43)+K55</f>
        <v>8236.53310416586</v>
      </c>
      <c r="M55" s="25" t="n">
        <f aca="false">IF(A55&gt;=Допущения!$F$38,Допущения!$F$73/Допущения!$F$42*MIN(Допущения!$F$42,A55-Допущения!$F$38+1),0)</f>
        <v>60</v>
      </c>
      <c r="N55" s="25" t="n">
        <f aca="false">N54*(1-Допущения!$F$45)+M55</f>
        <v>1741.35981594661</v>
      </c>
      <c r="O55" s="25" t="n">
        <f aca="false">L55+N55</f>
        <v>9977.89292011247</v>
      </c>
      <c r="P55" s="25" t="n">
        <f aca="false">L55*Допущения!$F$25</f>
        <v>2470.95993124976</v>
      </c>
      <c r="Q55" s="25" t="n">
        <f aca="false">L55*(1-Допущения!$F$25)+N55</f>
        <v>7506.93298886271</v>
      </c>
      <c r="R55" s="17" t="n">
        <f aca="false">MAX(Допущения!$F$18,ROUNDUP(Q55/Допущения!$F$68+P55/Допущения!$F$69,0))</f>
        <v>144</v>
      </c>
      <c r="S55" s="17" t="n">
        <f aca="false">ROUNDUP(R55/Допущения!$F$48,0)</f>
        <v>15</v>
      </c>
      <c r="T55" s="17" t="n">
        <f aca="false">L55*F55/(1+Допущения!$F$6)</f>
        <v>21820085.1388759</v>
      </c>
      <c r="U55" s="17" t="n">
        <f aca="false">N55*Допущения!$F$28*E55/(1+Допущения!$F$6)</f>
        <v>2806435.44924239</v>
      </c>
      <c r="V55" s="17" t="n">
        <f aca="false">O55*Допущения!$F$26*Допущения!$F$27/(1+Допущения!$F$6)</f>
        <v>1226790.11312858</v>
      </c>
      <c r="W55" s="17" t="n">
        <f aca="false">T55+U55+V55</f>
        <v>25853310.7012469</v>
      </c>
      <c r="X55" s="17" t="n">
        <f aca="false">J55*Допущения!$F$37</f>
        <v>20000</v>
      </c>
      <c r="Y55" s="17" t="n">
        <f aca="false">(R55*Допущения!$F$47+S55*Допущения!$F$49)*D55*Допущения!$F$9</f>
        <v>25135550.5218048</v>
      </c>
      <c r="Z55" s="17" t="n">
        <f aca="false">(MAX(0,R55-R54)+R55*Допущения!$F$50/12)*Допущения!$F$51*D55</f>
        <v>485014.31424</v>
      </c>
      <c r="AA55" s="17" t="n">
        <f aca="false">O55*(Допущения!$F$53+Допущения!$F$54)+(L55*F55+N55*Допущения!$F$28*E55)*Допущения!$F$13</f>
        <v>4980960.74156513</v>
      </c>
      <c r="AB55" s="17" t="n">
        <f aca="false">(R55+S55)*Допущения!$F$52</f>
        <v>429300</v>
      </c>
      <c r="AC55" s="17" t="n">
        <f aca="false">SUMPRODUCT(Допущения!$B$84:$B$91,Допущения!$C$84:$C$91,--(Допущения!$D$84:$D$91&lt;=A55))*D55*Допущения!$F$9</f>
        <v>2674748.5051392</v>
      </c>
      <c r="AD55" s="17" t="n">
        <f aca="false">(AC55+Y55)*Допущения!$F$14</f>
        <v>2781029.9026944</v>
      </c>
      <c r="AE55" s="17" t="n">
        <f aca="false">Допущения!$F$55+Допущения!$F$56*O55/1000+Допущения!$F$57</f>
        <v>219823.1433609</v>
      </c>
      <c r="AF55" s="17" t="n">
        <f aca="false">SUMIF(Допущения!$B$95:$B$103,A55,Допущения!$C$95:$C$103)</f>
        <v>0</v>
      </c>
      <c r="AG55" s="17" t="n">
        <v>0</v>
      </c>
      <c r="AH55" s="17" t="n">
        <f aca="false">G55+SUM(X55:AG55)</f>
        <v>39226427.1288044</v>
      </c>
      <c r="AI55" s="17" t="n">
        <f aca="false">W55-AH55</f>
        <v>-13373116.4275576</v>
      </c>
      <c r="AJ55" s="17" t="n">
        <f aca="false">AJ54+AI55</f>
        <v>-416794573.83176</v>
      </c>
      <c r="AK55" s="17" t="n">
        <f aca="false">O55*Допущения!$F$58*Допущения!$F$59</f>
        <v>329270.466363711</v>
      </c>
      <c r="AL55" s="17" t="n">
        <f aca="false">T55*Допущения!$F$72</f>
        <v>1100172.35994332</v>
      </c>
      <c r="AM55" s="17" t="n">
        <f aca="false">IF(MOD(A55,12)=0,INDEX($F$70:$F$74,B55),0)</f>
        <v>0</v>
      </c>
      <c r="AN55" s="17" t="n">
        <f aca="false">AI55-AM55</f>
        <v>-13373116.4275576</v>
      </c>
      <c r="AO55" s="26" t="n">
        <f aca="false">1/(1+Допущения!$F$74)^A55</f>
        <v>0.436684092932853</v>
      </c>
      <c r="AP55" s="21" t="str">
        <f aca="false">IF(AND(A55&gt;Допущения!$F$19,MIN(AI55:AI$65)&gt;0),A55,"")</f>
        <v/>
      </c>
      <c r="AQ55" s="21" t="str">
        <f aca="false">IF(MIN(AJ55:AJ$65)&gt;0,A55,"")</f>
        <v/>
      </c>
    </row>
    <row r="56" customFormat="false" ht="15" hidden="false" customHeight="false" outlineLevel="0" collapsed="false">
      <c r="A56" s="28" t="n">
        <v>51</v>
      </c>
      <c r="B56" s="28" t="n">
        <f aca="false">INT((A56-1)/12)+1</f>
        <v>5</v>
      </c>
      <c r="C56" s="12" t="s">
        <v>462</v>
      </c>
      <c r="D56" s="15" t="n">
        <f aca="false">(1+Допущения!$F$11)^(B56-1)</f>
        <v>1.36048896</v>
      </c>
      <c r="E56" s="15" t="n">
        <f aca="false">(1+Допущения!$F$12)^(B56-1)</f>
        <v>1.31079601</v>
      </c>
      <c r="F56" s="17" t="n">
        <f aca="false">Допущения!$F$71*E56</f>
        <v>3232.0035059368</v>
      </c>
      <c r="G56" s="17" t="n">
        <f aca="false">MIN(G55*(1+Допущения!$F$33),Допущения!$F$34)</f>
        <v>2500000</v>
      </c>
      <c r="H56" s="25" t="n">
        <f aca="false">MIN(Допущения!$F$30,G56/Допущения!$F$29)</f>
        <v>300</v>
      </c>
      <c r="I56" s="25" t="n">
        <f aca="false">MAX(0,G56-H56*Допущения!$F$29)/Допущения!$F$31</f>
        <v>341.666666666667</v>
      </c>
      <c r="J56" s="25" t="n">
        <f aca="false">IF(A56&gt;=Допущения!$F$35,Допущения!$F$36,0)</f>
        <v>40</v>
      </c>
      <c r="K56" s="25" t="n">
        <f aca="false">H56+I56+J56</f>
        <v>681.666666666667</v>
      </c>
      <c r="L56" s="25" t="n">
        <f aca="false">(L55-K55)*(1-Допущения!$F$44)+K55*(1-Допущения!$F$43)+K56</f>
        <v>8294.49111791591</v>
      </c>
      <c r="M56" s="25" t="n">
        <f aca="false">IF(A56&gt;=Допущения!$F$38,Допущения!$F$73/Допущения!$F$42*MIN(Допущения!$F$42,A56-Допущения!$F$38+1),0)</f>
        <v>60</v>
      </c>
      <c r="N56" s="25" t="n">
        <f aca="false">N55*(1-Допущения!$F$45)+M56</f>
        <v>1766.53261962767</v>
      </c>
      <c r="O56" s="25" t="n">
        <f aca="false">L56+N56</f>
        <v>10061.0237375436</v>
      </c>
      <c r="P56" s="25" t="n">
        <f aca="false">L56*Допущения!$F$25</f>
        <v>2488.34733537477</v>
      </c>
      <c r="Q56" s="25" t="n">
        <f aca="false">L56*(1-Допущения!$F$25)+N56</f>
        <v>7572.67640216881</v>
      </c>
      <c r="R56" s="17" t="n">
        <f aca="false">MAX(Допущения!$F$18,ROUNDUP(Q56/Допущения!$F$68+P56/Допущения!$F$69,0))</f>
        <v>145</v>
      </c>
      <c r="S56" s="17" t="n">
        <f aca="false">ROUNDUP(R56/Допущения!$F$48,0)</f>
        <v>15</v>
      </c>
      <c r="T56" s="17" t="n">
        <f aca="false">L56*F56/(1+Допущения!$F$6)</f>
        <v>21973626.5352999</v>
      </c>
      <c r="U56" s="17" t="n">
        <f aca="false">N56*Допущения!$F$28*E56/(1+Допущения!$F$6)</f>
        <v>2847004.80656902</v>
      </c>
      <c r="V56" s="17" t="n">
        <f aca="false">O56*Допущения!$F$26*Допущения!$F$27/(1+Допущения!$F$6)</f>
        <v>1237011.11527175</v>
      </c>
      <c r="W56" s="17" t="n">
        <f aca="false">T56+U56+V56</f>
        <v>26057642.4571407</v>
      </c>
      <c r="X56" s="17" t="n">
        <f aca="false">J56*Допущения!$F$37</f>
        <v>20000</v>
      </c>
      <c r="Y56" s="17" t="n">
        <f aca="false">(R56*Допущения!$F$47+S56*Допущения!$F$49)*D56*Допущения!$F$9</f>
        <v>25286115.835008</v>
      </c>
      <c r="Z56" s="17" t="n">
        <f aca="false">(MAX(0,R56-R55)+R56*Допущения!$F$50/12)*Допущения!$F$51*D56</f>
        <v>487650.2616</v>
      </c>
      <c r="AA56" s="17" t="n">
        <f aca="false">O56*(Допущения!$F$53+Допущения!$F$54)+(L56*F56+N56*Допущения!$F$28*E56)*Допущения!$F$13</f>
        <v>5022216.62747434</v>
      </c>
      <c r="AB56" s="17" t="n">
        <f aca="false">(R56+S56)*Допущения!$F$52</f>
        <v>432000</v>
      </c>
      <c r="AC56" s="17" t="n">
        <f aca="false">SUMPRODUCT(Допущения!$B$84:$B$91,Допущения!$C$84:$C$91,--(Допущения!$D$84:$D$91&lt;=A56))*D56*Допущения!$F$9</f>
        <v>2674748.5051392</v>
      </c>
      <c r="AD56" s="17" t="n">
        <f aca="false">(AC56+Y56)*Допущения!$F$14</f>
        <v>2796086.43401472</v>
      </c>
      <c r="AE56" s="17" t="n">
        <f aca="false">Допущения!$F$55+Допущения!$F$56*O56/1000+Допущения!$F$57</f>
        <v>220488.189900349</v>
      </c>
      <c r="AF56" s="17" t="n">
        <f aca="false">SUMIF(Допущения!$B$95:$B$103,A56,Допущения!$C$95:$C$103)</f>
        <v>0</v>
      </c>
      <c r="AG56" s="17" t="n">
        <v>0</v>
      </c>
      <c r="AH56" s="17" t="n">
        <f aca="false">G56+SUM(X56:AG56)</f>
        <v>39439305.8531366</v>
      </c>
      <c r="AI56" s="17" t="n">
        <f aca="false">W56-AH56</f>
        <v>-13381663.3959959</v>
      </c>
      <c r="AJ56" s="17" t="n">
        <f aca="false">AJ55+AI56</f>
        <v>-430176237.227756</v>
      </c>
      <c r="AK56" s="17" t="n">
        <f aca="false">O56*Допущения!$F$58*Допущения!$F$59</f>
        <v>332013.783338938</v>
      </c>
      <c r="AL56" s="17" t="n">
        <f aca="false">T56*Допущения!$F$72</f>
        <v>1107913.9429563</v>
      </c>
      <c r="AM56" s="17" t="n">
        <f aca="false">IF(MOD(A56,12)=0,INDEX($F$70:$F$74,B56),0)</f>
        <v>0</v>
      </c>
      <c r="AN56" s="17" t="n">
        <f aca="false">AI56-AM56</f>
        <v>-13381663.3959959</v>
      </c>
      <c r="AO56" s="26" t="n">
        <f aca="false">1/(1+Допущения!$F$74)^A56</f>
        <v>0.429507468164061</v>
      </c>
      <c r="AP56" s="21" t="str">
        <f aca="false">IF(AND(A56&gt;Допущения!$F$19,MIN(AI56:AI$65)&gt;0),A56,"")</f>
        <v/>
      </c>
      <c r="AQ56" s="21" t="str">
        <f aca="false">IF(MIN(AJ56:AJ$65)&gt;0,A56,"")</f>
        <v/>
      </c>
    </row>
    <row r="57" customFormat="false" ht="15" hidden="false" customHeight="false" outlineLevel="0" collapsed="false">
      <c r="A57" s="28" t="n">
        <v>52</v>
      </c>
      <c r="B57" s="28" t="n">
        <f aca="false">INT((A57-1)/12)+1</f>
        <v>5</v>
      </c>
      <c r="C57" s="12" t="s">
        <v>462</v>
      </c>
      <c r="D57" s="15" t="n">
        <f aca="false">(1+Допущения!$F$11)^(B57-1)</f>
        <v>1.36048896</v>
      </c>
      <c r="E57" s="15" t="n">
        <f aca="false">(1+Допущения!$F$12)^(B57-1)</f>
        <v>1.31079601</v>
      </c>
      <c r="F57" s="17" t="n">
        <f aca="false">Допущения!$F$71*E57</f>
        <v>3232.0035059368</v>
      </c>
      <c r="G57" s="17" t="n">
        <f aca="false">MIN(G56*(1+Допущения!$F$33),Допущения!$F$34)</f>
        <v>2500000</v>
      </c>
      <c r="H57" s="25" t="n">
        <f aca="false">MIN(Допущения!$F$30,G57/Допущения!$F$29)</f>
        <v>300</v>
      </c>
      <c r="I57" s="25" t="n">
        <f aca="false">MAX(0,G57-H57*Допущения!$F$29)/Допущения!$F$31</f>
        <v>341.666666666667</v>
      </c>
      <c r="J57" s="25" t="n">
        <f aca="false">IF(A57&gt;=Допущения!$F$35,Допущения!$F$36,0)</f>
        <v>40</v>
      </c>
      <c r="K57" s="25" t="n">
        <f aca="false">H57+I57+J57</f>
        <v>681.666666666667</v>
      </c>
      <c r="L57" s="25" t="n">
        <f aca="false">(L56-K56)*(1-Допущения!$F$44)+K56*(1-Допущения!$F$43)+K57</f>
        <v>8348.97165084095</v>
      </c>
      <c r="M57" s="25" t="n">
        <f aca="false">IF(A57&gt;=Допущения!$F$38,Допущения!$F$73/Допущения!$F$42*MIN(Допущения!$F$42,A57-Допущения!$F$38+1),0)</f>
        <v>60</v>
      </c>
      <c r="N57" s="25" t="n">
        <f aca="false">N56*(1-Допущения!$F$45)+M57</f>
        <v>1791.20196723512</v>
      </c>
      <c r="O57" s="25" t="n">
        <f aca="false">L57+N57</f>
        <v>10140.1736180761</v>
      </c>
      <c r="P57" s="25" t="n">
        <f aca="false">L57*Допущения!$F$25</f>
        <v>2504.69149525229</v>
      </c>
      <c r="Q57" s="25" t="n">
        <f aca="false">L57*(1-Допущения!$F$25)+N57</f>
        <v>7635.48212282379</v>
      </c>
      <c r="R57" s="17" t="n">
        <f aca="false">MAX(Допущения!$F$18,ROUNDUP(Q57/Допущения!$F$68+P57/Допущения!$F$69,0))</f>
        <v>146</v>
      </c>
      <c r="S57" s="17" t="n">
        <f aca="false">ROUNDUP(R57/Допущения!$F$48,0)</f>
        <v>15</v>
      </c>
      <c r="T57" s="17" t="n">
        <f aca="false">L57*F57/(1+Допущения!$F$6)</f>
        <v>22117955.4479385</v>
      </c>
      <c r="U57" s="17" t="n">
        <f aca="false">N57*Допущения!$F$28*E57/(1+Допущения!$F$6)</f>
        <v>2886762.77674912</v>
      </c>
      <c r="V57" s="17" t="n">
        <f aca="false">O57*Допущения!$F$26*Допущения!$F$27/(1+Допущения!$F$6)</f>
        <v>1246742.65796017</v>
      </c>
      <c r="W57" s="17" t="n">
        <f aca="false">T57+U57+V57</f>
        <v>26251460.8826477</v>
      </c>
      <c r="X57" s="17" t="n">
        <f aca="false">J57*Допущения!$F$37</f>
        <v>20000</v>
      </c>
      <c r="Y57" s="17" t="n">
        <f aca="false">(R57*Допущения!$F$47+S57*Допущения!$F$49)*D57*Допущения!$F$9</f>
        <v>25436681.1482112</v>
      </c>
      <c r="Z57" s="17" t="n">
        <f aca="false">(MAX(0,R57-R56)+R57*Допущения!$F$50/12)*Допущения!$F$51*D57</f>
        <v>490286.20896</v>
      </c>
      <c r="AA57" s="17" t="n">
        <f aca="false">O57*(Допущения!$F$53+Допущения!$F$54)+(L57*F57+N57*Допущения!$F$28*E57)*Допущения!$F$13</f>
        <v>5061480.87225799</v>
      </c>
      <c r="AB57" s="17" t="n">
        <f aca="false">(R57+S57)*Допущения!$F$52</f>
        <v>434700</v>
      </c>
      <c r="AC57" s="17" t="n">
        <f aca="false">SUMPRODUCT(Допущения!$B$84:$B$91,Допущения!$C$84:$C$91,--(Допущения!$D$84:$D$91&lt;=A57))*D57*Допущения!$F$9</f>
        <v>2674748.5051392</v>
      </c>
      <c r="AD57" s="17" t="n">
        <f aca="false">(AC57+Y57)*Допущения!$F$14</f>
        <v>2811142.96533504</v>
      </c>
      <c r="AE57" s="17" t="n">
        <f aca="false">Допущения!$F$55+Допущения!$F$56*O57/1000+Допущения!$F$57</f>
        <v>221121.388944609</v>
      </c>
      <c r="AF57" s="17" t="n">
        <f aca="false">SUMIF(Допущения!$B$95:$B$103,A57,Допущения!$C$95:$C$103)</f>
        <v>0</v>
      </c>
      <c r="AG57" s="17" t="n">
        <v>0</v>
      </c>
      <c r="AH57" s="17" t="n">
        <f aca="false">G57+SUM(X57:AG57)</f>
        <v>39650161.0888481</v>
      </c>
      <c r="AI57" s="17" t="n">
        <f aca="false">W57-AH57</f>
        <v>-13398700.2062003</v>
      </c>
      <c r="AJ57" s="17" t="n">
        <f aca="false">AJ56+AI57</f>
        <v>-443574937.433956</v>
      </c>
      <c r="AK57" s="17" t="n">
        <f aca="false">O57*Допущения!$F$58*Допущения!$F$59</f>
        <v>334625.72939651</v>
      </c>
      <c r="AL57" s="17" t="n">
        <f aca="false">T57*Допущения!$F$72</f>
        <v>1115191.03098849</v>
      </c>
      <c r="AM57" s="17" t="n">
        <f aca="false">IF(MOD(A57,12)=0,INDEX($F$70:$F$74,B57),0)</f>
        <v>0</v>
      </c>
      <c r="AN57" s="17" t="n">
        <f aca="false">AI57-AM57</f>
        <v>-13398700.2062003</v>
      </c>
      <c r="AO57" s="26" t="n">
        <f aca="false">1/(1+Допущения!$F$74)^A57</f>
        <v>0.422448786649684</v>
      </c>
      <c r="AP57" s="21" t="str">
        <f aca="false">IF(AND(A57&gt;Допущения!$F$19,MIN(AI57:AI$65)&gt;0),A57,"")</f>
        <v/>
      </c>
      <c r="AQ57" s="21" t="str">
        <f aca="false">IF(MIN(AJ57:AJ$65)&gt;0,A57,"")</f>
        <v/>
      </c>
    </row>
    <row r="58" customFormat="false" ht="15" hidden="false" customHeight="false" outlineLevel="0" collapsed="false">
      <c r="A58" s="28" t="n">
        <v>53</v>
      </c>
      <c r="B58" s="28" t="n">
        <f aca="false">INT((A58-1)/12)+1</f>
        <v>5</v>
      </c>
      <c r="C58" s="12" t="s">
        <v>462</v>
      </c>
      <c r="D58" s="15" t="n">
        <f aca="false">(1+Допущения!$F$11)^(B58-1)</f>
        <v>1.36048896</v>
      </c>
      <c r="E58" s="15" t="n">
        <f aca="false">(1+Допущения!$F$12)^(B58-1)</f>
        <v>1.31079601</v>
      </c>
      <c r="F58" s="17" t="n">
        <f aca="false">Допущения!$F$71*E58</f>
        <v>3232.0035059368</v>
      </c>
      <c r="G58" s="17" t="n">
        <f aca="false">MIN(G57*(1+Допущения!$F$33),Допущения!$F$34)</f>
        <v>2500000</v>
      </c>
      <c r="H58" s="25" t="n">
        <f aca="false">MIN(Допущения!$F$30,G58/Допущения!$F$29)</f>
        <v>300</v>
      </c>
      <c r="I58" s="25" t="n">
        <f aca="false">MAX(0,G58-H58*Допущения!$F$29)/Допущения!$F$31</f>
        <v>341.666666666667</v>
      </c>
      <c r="J58" s="25" t="n">
        <f aca="false">IF(A58&gt;=Допущения!$F$35,Допущения!$F$36,0)</f>
        <v>40</v>
      </c>
      <c r="K58" s="25" t="n">
        <f aca="false">H58+I58+J58</f>
        <v>681.666666666667</v>
      </c>
      <c r="L58" s="25" t="n">
        <f aca="false">(L57-K57)*(1-Допущения!$F$44)+K57*(1-Допущения!$F$43)+K58</f>
        <v>8400.18335179049</v>
      </c>
      <c r="M58" s="25" t="n">
        <f aca="false">IF(A58&gt;=Допущения!$F$38,Допущения!$F$73/Допущения!$F$42*MIN(Допущения!$F$42,A58-Допущения!$F$38+1),0)</f>
        <v>60</v>
      </c>
      <c r="N58" s="25" t="n">
        <f aca="false">N57*(1-Допущения!$F$45)+M58</f>
        <v>1815.37792789042</v>
      </c>
      <c r="O58" s="25" t="n">
        <f aca="false">L58+N58</f>
        <v>10215.5612796809</v>
      </c>
      <c r="P58" s="25" t="n">
        <f aca="false">L58*Допущения!$F$25</f>
        <v>2520.05500553715</v>
      </c>
      <c r="Q58" s="25" t="n">
        <f aca="false">L58*(1-Допущения!$F$25)+N58</f>
        <v>7695.50627414376</v>
      </c>
      <c r="R58" s="17" t="n">
        <f aca="false">MAX(Допущения!$F$18,ROUNDUP(Q58/Допущения!$F$68+P58/Допущения!$F$69,0))</f>
        <v>147</v>
      </c>
      <c r="S58" s="17" t="n">
        <f aca="false">ROUNDUP(R58/Допущения!$F$48,0)</f>
        <v>15</v>
      </c>
      <c r="T58" s="17" t="n">
        <f aca="false">L58*F58/(1+Допущения!$F$6)</f>
        <v>22253624.6258187</v>
      </c>
      <c r="U58" s="17" t="n">
        <f aca="false">N58*Допущения!$F$28*E58/(1+Допущения!$F$6)</f>
        <v>2925725.58752561</v>
      </c>
      <c r="V58" s="17" t="n">
        <f aca="false">O58*Допущения!$F$26*Допущения!$F$27/(1+Допущения!$F$6)</f>
        <v>1256011.63274765</v>
      </c>
      <c r="W58" s="17" t="n">
        <f aca="false">T58+U58+V58</f>
        <v>26435361.846092</v>
      </c>
      <c r="X58" s="17" t="n">
        <f aca="false">J58*Допущения!$F$37</f>
        <v>20000</v>
      </c>
      <c r="Y58" s="17" t="n">
        <f aca="false">(R58*Допущения!$F$47+S58*Допущения!$F$49)*D58*Допущения!$F$9</f>
        <v>25587246.4614144</v>
      </c>
      <c r="Z58" s="17" t="n">
        <f aca="false">(MAX(0,R58-R57)+R58*Допущения!$F$50/12)*Допущения!$F$51*D58</f>
        <v>492922.15632</v>
      </c>
      <c r="AA58" s="17" t="n">
        <f aca="false">O58*(Допущения!$F$53+Допущения!$F$54)+(L58*F58+N58*Допущения!$F$28*E58)*Допущения!$F$13</f>
        <v>5098863.30014305</v>
      </c>
      <c r="AB58" s="17" t="n">
        <f aca="false">(R58+S58)*Допущения!$F$52</f>
        <v>437400</v>
      </c>
      <c r="AC58" s="17" t="n">
        <f aca="false">SUMPRODUCT(Допущения!$B$84:$B$91,Допущения!$C$84:$C$91,--(Допущения!$D$84:$D$91&lt;=A58))*D58*Допущения!$F$9</f>
        <v>2674748.5051392</v>
      </c>
      <c r="AD58" s="17" t="n">
        <f aca="false">(AC58+Y58)*Допущения!$F$14</f>
        <v>2826199.49665536</v>
      </c>
      <c r="AE58" s="17" t="n">
        <f aca="false">Допущения!$F$55+Допущения!$F$56*O58/1000+Допущения!$F$57</f>
        <v>221724.490237447</v>
      </c>
      <c r="AF58" s="17" t="n">
        <f aca="false">SUMIF(Допущения!$B$95:$B$103,A58,Допущения!$C$95:$C$103)</f>
        <v>0</v>
      </c>
      <c r="AG58" s="17" t="n">
        <v>0</v>
      </c>
      <c r="AH58" s="17" t="n">
        <f aca="false">G58+SUM(X58:AG58)</f>
        <v>39859104.4099095</v>
      </c>
      <c r="AI58" s="17" t="n">
        <f aca="false">W58-AH58</f>
        <v>-13423742.5638175</v>
      </c>
      <c r="AJ58" s="17" t="n">
        <f aca="false">AJ57+AI58</f>
        <v>-456998679.997774</v>
      </c>
      <c r="AK58" s="17" t="n">
        <f aca="false">O58*Допущения!$F$58*Допущения!$F$59</f>
        <v>337113.52222947</v>
      </c>
      <c r="AL58" s="17" t="n">
        <f aca="false">T58*Допущения!$F$72</f>
        <v>1122031.49373876</v>
      </c>
      <c r="AM58" s="17" t="n">
        <f aca="false">IF(MOD(A58,12)=0,INDEX($F$70:$F$74,B58),0)</f>
        <v>0</v>
      </c>
      <c r="AN58" s="17" t="n">
        <f aca="false">AI58-AM58</f>
        <v>-13423742.5638175</v>
      </c>
      <c r="AO58" s="26" t="n">
        <f aca="false">1/(1+Допущения!$F$74)^A58</f>
        <v>0.415506110067503</v>
      </c>
      <c r="AP58" s="21" t="str">
        <f aca="false">IF(AND(A58&gt;Допущения!$F$19,MIN(AI58:AI$65)&gt;0),A58,"")</f>
        <v/>
      </c>
      <c r="AQ58" s="21" t="str">
        <f aca="false">IF(MIN(AJ58:AJ$65)&gt;0,A58,"")</f>
        <v/>
      </c>
    </row>
    <row r="59" customFormat="false" ht="15" hidden="false" customHeight="false" outlineLevel="0" collapsed="false">
      <c r="A59" s="28" t="n">
        <v>54</v>
      </c>
      <c r="B59" s="28" t="n">
        <f aca="false">INT((A59-1)/12)+1</f>
        <v>5</v>
      </c>
      <c r="C59" s="12" t="s">
        <v>462</v>
      </c>
      <c r="D59" s="15" t="n">
        <f aca="false">(1+Допущения!$F$11)^(B59-1)</f>
        <v>1.36048896</v>
      </c>
      <c r="E59" s="15" t="n">
        <f aca="false">(1+Допущения!$F$12)^(B59-1)</f>
        <v>1.31079601</v>
      </c>
      <c r="F59" s="17" t="n">
        <f aca="false">Допущения!$F$71*E59</f>
        <v>3232.0035059368</v>
      </c>
      <c r="G59" s="17" t="n">
        <f aca="false">MIN(G58*(1+Допущения!$F$33),Допущения!$F$34)</f>
        <v>2500000</v>
      </c>
      <c r="H59" s="25" t="n">
        <f aca="false">MIN(Допущения!$F$30,G59/Допущения!$F$29)</f>
        <v>300</v>
      </c>
      <c r="I59" s="25" t="n">
        <f aca="false">MAX(0,G59-H59*Допущения!$F$29)/Допущения!$F$31</f>
        <v>341.666666666667</v>
      </c>
      <c r="J59" s="25" t="n">
        <f aca="false">IF(A59&gt;=Допущения!$F$35,Допущения!$F$36,0)</f>
        <v>40</v>
      </c>
      <c r="K59" s="25" t="n">
        <f aca="false">H59+I59+J59</f>
        <v>681.666666666667</v>
      </c>
      <c r="L59" s="25" t="n">
        <f aca="false">(L58-K58)*(1-Допущения!$F$44)+K58*(1-Допущения!$F$43)+K59</f>
        <v>8448.32235068306</v>
      </c>
      <c r="M59" s="25" t="n">
        <f aca="false">IF(A59&gt;=Допущения!$F$38,Допущения!$F$73/Допущения!$F$42*MIN(Допущения!$F$42,A59-Допущения!$F$38+1),0)</f>
        <v>60</v>
      </c>
      <c r="N59" s="25" t="n">
        <f aca="false">N58*(1-Допущения!$F$45)+M59</f>
        <v>1839.07036933261</v>
      </c>
      <c r="O59" s="25" t="n">
        <f aca="false">L59+N59</f>
        <v>10287.3927200157</v>
      </c>
      <c r="P59" s="25" t="n">
        <f aca="false">L59*Допущения!$F$25</f>
        <v>2534.49670520492</v>
      </c>
      <c r="Q59" s="25" t="n">
        <f aca="false">L59*(1-Допущения!$F$25)+N59</f>
        <v>7752.89601481075</v>
      </c>
      <c r="R59" s="17" t="n">
        <f aca="false">MAX(Допущения!$F$18,ROUNDUP(Q59/Допущения!$F$68+P59/Допущения!$F$69,0))</f>
        <v>148</v>
      </c>
      <c r="S59" s="17" t="n">
        <f aca="false">ROUNDUP(R59/Допущения!$F$48,0)</f>
        <v>15</v>
      </c>
      <c r="T59" s="17" t="n">
        <f aca="false">L59*F59/(1+Допущения!$F$6)</f>
        <v>22381153.6530261</v>
      </c>
      <c r="U59" s="17" t="n">
        <f aca="false">N59*Допущения!$F$28*E59/(1+Допущения!$F$6)</f>
        <v>2963909.14208657</v>
      </c>
      <c r="V59" s="17" t="n">
        <f aca="false">O59*Допущения!$F$26*Допущения!$F$27/(1+Допущения!$F$6)</f>
        <v>1264843.36721504</v>
      </c>
      <c r="W59" s="17" t="n">
        <f aca="false">T59+U59+V59</f>
        <v>26609906.1623278</v>
      </c>
      <c r="X59" s="17" t="n">
        <f aca="false">J59*Допущения!$F$37</f>
        <v>20000</v>
      </c>
      <c r="Y59" s="17" t="n">
        <f aca="false">(R59*Допущения!$F$47+S59*Допущения!$F$49)*D59*Допущения!$F$9</f>
        <v>25737811.7746176</v>
      </c>
      <c r="Z59" s="17" t="n">
        <f aca="false">(MAX(0,R59-R58)+R59*Допущения!$F$50/12)*Допущения!$F$51*D59</f>
        <v>495558.10368</v>
      </c>
      <c r="AA59" s="17" t="n">
        <f aca="false">O59*(Допущения!$F$53+Допущения!$F$54)+(L59*F59+N59*Допущения!$F$28*E59)*Допущения!$F$13</f>
        <v>5134467.33938765</v>
      </c>
      <c r="AB59" s="17" t="n">
        <f aca="false">(R59+S59)*Допущения!$F$52</f>
        <v>440100</v>
      </c>
      <c r="AC59" s="17" t="n">
        <f aca="false">SUMPRODUCT(Допущения!$B$84:$B$91,Допущения!$C$84:$C$91,--(Допущения!$D$84:$D$91&lt;=A59))*D59*Допущения!$F$9</f>
        <v>2674748.5051392</v>
      </c>
      <c r="AD59" s="17" t="n">
        <f aca="false">(AC59+Y59)*Допущения!$F$14</f>
        <v>2841256.02797568</v>
      </c>
      <c r="AE59" s="17" t="n">
        <f aca="false">Допущения!$F$55+Допущения!$F$56*O59/1000+Допущения!$F$57</f>
        <v>222299.141760125</v>
      </c>
      <c r="AF59" s="17" t="n">
        <f aca="false">SUMIF(Допущения!$B$95:$B$103,A59,Допущения!$C$95:$C$103)</f>
        <v>0</v>
      </c>
      <c r="AG59" s="17" t="n">
        <v>0</v>
      </c>
      <c r="AH59" s="17" t="n">
        <f aca="false">G59+SUM(X59:AG59)</f>
        <v>40066240.8925603</v>
      </c>
      <c r="AI59" s="17" t="n">
        <f aca="false">W59-AH59</f>
        <v>-13456334.7302325</v>
      </c>
      <c r="AJ59" s="17" t="n">
        <f aca="false">AJ58+AI59</f>
        <v>-470455014.728006</v>
      </c>
      <c r="AK59" s="17" t="n">
        <f aca="false">O59*Допущения!$F$58*Допущения!$F$59</f>
        <v>339483.959760517</v>
      </c>
      <c r="AL59" s="17" t="n">
        <f aca="false">T59*Допущения!$F$72</f>
        <v>1128461.52872401</v>
      </c>
      <c r="AM59" s="17" t="n">
        <f aca="false">IF(MOD(A59,12)=0,INDEX($F$70:$F$74,B59),0)</f>
        <v>0</v>
      </c>
      <c r="AN59" s="17" t="n">
        <f aca="false">AI59-AM59</f>
        <v>-13456334.7302325</v>
      </c>
      <c r="AO59" s="26" t="n">
        <f aca="false">1/(1+Допущения!$F$74)^A59</f>
        <v>0.408677531950384</v>
      </c>
      <c r="AP59" s="21" t="str">
        <f aca="false">IF(AND(A59&gt;Допущения!$F$19,MIN(AI59:AI$65)&gt;0),A59,"")</f>
        <v/>
      </c>
      <c r="AQ59" s="21" t="str">
        <f aca="false">IF(MIN(AJ59:AJ$65)&gt;0,A59,"")</f>
        <v/>
      </c>
    </row>
    <row r="60" customFormat="false" ht="15" hidden="false" customHeight="false" outlineLevel="0" collapsed="false">
      <c r="A60" s="28" t="n">
        <v>55</v>
      </c>
      <c r="B60" s="28" t="n">
        <f aca="false">INT((A60-1)/12)+1</f>
        <v>5</v>
      </c>
      <c r="C60" s="12" t="s">
        <v>462</v>
      </c>
      <c r="D60" s="15" t="n">
        <f aca="false">(1+Допущения!$F$11)^(B60-1)</f>
        <v>1.36048896</v>
      </c>
      <c r="E60" s="15" t="n">
        <f aca="false">(1+Допущения!$F$12)^(B60-1)</f>
        <v>1.31079601</v>
      </c>
      <c r="F60" s="17" t="n">
        <f aca="false">Допущения!$F$71*E60</f>
        <v>3232.0035059368</v>
      </c>
      <c r="G60" s="17" t="n">
        <f aca="false">MIN(G59*(1+Допущения!$F$33),Допущения!$F$34)</f>
        <v>2500000</v>
      </c>
      <c r="H60" s="25" t="n">
        <f aca="false">MIN(Допущения!$F$30,G60/Допущения!$F$29)</f>
        <v>300</v>
      </c>
      <c r="I60" s="25" t="n">
        <f aca="false">MAX(0,G60-H60*Допущения!$F$29)/Допущения!$F$31</f>
        <v>341.666666666667</v>
      </c>
      <c r="J60" s="25" t="n">
        <f aca="false">IF(A60&gt;=Допущения!$F$35,Допущения!$F$36,0)</f>
        <v>40</v>
      </c>
      <c r="K60" s="25" t="n">
        <f aca="false">H60+I60+J60</f>
        <v>681.666666666667</v>
      </c>
      <c r="L60" s="25" t="n">
        <f aca="false">(L59-K59)*(1-Допущения!$F$44)+K59*(1-Допущения!$F$43)+K60</f>
        <v>8493.57300964208</v>
      </c>
      <c r="M60" s="25" t="n">
        <f aca="false">IF(A60&gt;=Допущения!$F$38,Допущения!$F$73/Допущения!$F$42*MIN(Допущения!$F$42,A60-Допущения!$F$38+1),0)</f>
        <v>60</v>
      </c>
      <c r="N60" s="25" t="n">
        <f aca="false">N59*(1-Допущения!$F$45)+M60</f>
        <v>1862.28896194596</v>
      </c>
      <c r="O60" s="25" t="n">
        <f aca="false">L60+N60</f>
        <v>10355.861971588</v>
      </c>
      <c r="P60" s="25" t="n">
        <f aca="false">L60*Допущения!$F$25</f>
        <v>2548.07190289262</v>
      </c>
      <c r="Q60" s="25" t="n">
        <f aca="false">L60*(1-Допущения!$F$25)+N60</f>
        <v>7807.79006869541</v>
      </c>
      <c r="R60" s="17" t="n">
        <f aca="false">MAX(Допущения!$F$18,ROUNDUP(Q60/Допущения!$F$68+P60/Допущения!$F$69,0))</f>
        <v>149</v>
      </c>
      <c r="S60" s="17" t="n">
        <f aca="false">ROUNDUP(R60/Допущения!$F$48,0)</f>
        <v>15</v>
      </c>
      <c r="T60" s="17" t="n">
        <f aca="false">L60*F60/(1+Допущения!$F$6)</f>
        <v>22501030.9386011</v>
      </c>
      <c r="U60" s="17" t="n">
        <f aca="false">N60*Допущения!$F$28*E60/(1+Допущения!$F$6)</f>
        <v>3001329.02555632</v>
      </c>
      <c r="V60" s="17" t="n">
        <f aca="false">O60*Допущения!$F$26*Допущения!$F$27/(1+Допущения!$F$6)</f>
        <v>1273261.7178182</v>
      </c>
      <c r="W60" s="17" t="n">
        <f aca="false">T60+U60+V60</f>
        <v>26775621.6819756</v>
      </c>
      <c r="X60" s="17" t="n">
        <f aca="false">J60*Допущения!$F$37</f>
        <v>20000</v>
      </c>
      <c r="Y60" s="17" t="n">
        <f aca="false">(R60*Допущения!$F$47+S60*Допущения!$F$49)*D60*Допущения!$F$9</f>
        <v>25888377.0878208</v>
      </c>
      <c r="Z60" s="17" t="n">
        <f aca="false">(MAX(0,R60-R59)+R60*Допущения!$F$50/12)*Допущения!$F$51*D60</f>
        <v>498194.05104</v>
      </c>
      <c r="AA60" s="17" t="n">
        <f aca="false">O60*(Допущения!$F$53+Допущения!$F$54)+(L60*F60+N60*Допущения!$F$28*E60)*Допущения!$F$13</f>
        <v>5168390.40216957</v>
      </c>
      <c r="AB60" s="17" t="n">
        <f aca="false">(R60+S60)*Допущения!$F$52</f>
        <v>442800</v>
      </c>
      <c r="AC60" s="17" t="n">
        <f aca="false">SUMPRODUCT(Допущения!$B$84:$B$91,Допущения!$C$84:$C$91,--(Допущения!$D$84:$D$91&lt;=A60))*D60*Допущения!$F$9</f>
        <v>2674748.5051392</v>
      </c>
      <c r="AD60" s="17" t="n">
        <f aca="false">(AC60+Y60)*Допущения!$F$14</f>
        <v>2856312.559296</v>
      </c>
      <c r="AE60" s="17" t="n">
        <f aca="false">Допущения!$F$55+Допущения!$F$56*O60/1000+Допущения!$F$57</f>
        <v>222846.895772704</v>
      </c>
      <c r="AF60" s="17" t="n">
        <f aca="false">SUMIF(Допущения!$B$95:$B$103,A60,Допущения!$C$95:$C$103)</f>
        <v>0</v>
      </c>
      <c r="AG60" s="17" t="n">
        <v>0</v>
      </c>
      <c r="AH60" s="17" t="n">
        <f aca="false">G60+SUM(X60:AG60)</f>
        <v>40271669.5012383</v>
      </c>
      <c r="AI60" s="17" t="n">
        <f aca="false">W60-AH60</f>
        <v>-13496047.8192626</v>
      </c>
      <c r="AJ60" s="17" t="n">
        <f aca="false">AJ59+AI60</f>
        <v>-483951062.547269</v>
      </c>
      <c r="AK60" s="17" t="n">
        <f aca="false">O60*Допущения!$F$58*Допущения!$F$59</f>
        <v>341743.445062405</v>
      </c>
      <c r="AL60" s="17" t="n">
        <f aca="false">T60*Допущения!$F$72</f>
        <v>1134505.76161014</v>
      </c>
      <c r="AM60" s="17" t="n">
        <f aca="false">IF(MOD(A60,12)=0,INDEX($F$70:$F$74,B60),0)</f>
        <v>0</v>
      </c>
      <c r="AN60" s="17" t="n">
        <f aca="false">AI60-AM60</f>
        <v>-13496047.8192626</v>
      </c>
      <c r="AO60" s="26" t="n">
        <f aca="false">1/(1+Допущения!$F$74)^A60</f>
        <v>0.401961177162772</v>
      </c>
      <c r="AP60" s="21" t="str">
        <f aca="false">IF(AND(A60&gt;Допущения!$F$19,MIN(AI60:AI$65)&gt;0),A60,"")</f>
        <v/>
      </c>
      <c r="AQ60" s="21" t="str">
        <f aca="false">IF(MIN(AJ60:AJ$65)&gt;0,A60,"")</f>
        <v/>
      </c>
    </row>
    <row r="61" customFormat="false" ht="15" hidden="false" customHeight="false" outlineLevel="0" collapsed="false">
      <c r="A61" s="28" t="n">
        <v>56</v>
      </c>
      <c r="B61" s="28" t="n">
        <f aca="false">INT((A61-1)/12)+1</f>
        <v>5</v>
      </c>
      <c r="C61" s="12" t="s">
        <v>462</v>
      </c>
      <c r="D61" s="15" t="n">
        <f aca="false">(1+Допущения!$F$11)^(B61-1)</f>
        <v>1.36048896</v>
      </c>
      <c r="E61" s="15" t="n">
        <f aca="false">(1+Допущения!$F$12)^(B61-1)</f>
        <v>1.31079601</v>
      </c>
      <c r="F61" s="17" t="n">
        <f aca="false">Допущения!$F$71*E61</f>
        <v>3232.0035059368</v>
      </c>
      <c r="G61" s="17" t="n">
        <f aca="false">MIN(G60*(1+Допущения!$F$33),Допущения!$F$34)</f>
        <v>2500000</v>
      </c>
      <c r="H61" s="25" t="n">
        <f aca="false">MIN(Допущения!$F$30,G61/Допущения!$F$29)</f>
        <v>300</v>
      </c>
      <c r="I61" s="25" t="n">
        <f aca="false">MAX(0,G61-H61*Допущения!$F$29)/Допущения!$F$31</f>
        <v>341.666666666667</v>
      </c>
      <c r="J61" s="25" t="n">
        <f aca="false">IF(A61&gt;=Допущения!$F$35,Допущения!$F$36,0)</f>
        <v>40</v>
      </c>
      <c r="K61" s="25" t="n">
        <f aca="false">H61+I61+J61</f>
        <v>681.666666666667</v>
      </c>
      <c r="L61" s="25" t="n">
        <f aca="false">(L60-K60)*(1-Допущения!$F$44)+K60*(1-Допущения!$F$43)+K61</f>
        <v>8536.10862906355</v>
      </c>
      <c r="M61" s="25" t="n">
        <f aca="false">IF(A61&gt;=Допущения!$F$38,Допущения!$F$73/Допущения!$F$42*MIN(Допущения!$F$42,A61-Допущения!$F$38+1),0)</f>
        <v>60</v>
      </c>
      <c r="N61" s="25" t="n">
        <f aca="false">N60*(1-Допущения!$F$45)+M61</f>
        <v>1885.04318270704</v>
      </c>
      <c r="O61" s="25" t="n">
        <f aca="false">L61+N61</f>
        <v>10421.1518117706</v>
      </c>
      <c r="P61" s="25" t="n">
        <f aca="false">L61*Допущения!$F$25</f>
        <v>2560.83258871907</v>
      </c>
      <c r="Q61" s="25" t="n">
        <f aca="false">L61*(1-Допущения!$F$25)+N61</f>
        <v>7860.31922305153</v>
      </c>
      <c r="R61" s="17" t="n">
        <f aca="false">MAX(Допущения!$F$18,ROUNDUP(Q61/Допущения!$F$68+P61/Допущения!$F$69,0))</f>
        <v>150</v>
      </c>
      <c r="S61" s="17" t="n">
        <f aca="false">ROUNDUP(R61/Допущения!$F$48,0)</f>
        <v>15</v>
      </c>
      <c r="T61" s="17" t="n">
        <f aca="false">L61*F61/(1+Допущения!$F$6)</f>
        <v>22613715.5870416</v>
      </c>
      <c r="U61" s="17" t="n">
        <f aca="false">N61*Допущения!$F$28*E61/(1+Допущения!$F$6)</f>
        <v>3038000.51135667</v>
      </c>
      <c r="V61" s="17" t="n">
        <f aca="false">O61*Допущения!$F$26*Допущения!$F$27/(1+Допущения!$F$6)</f>
        <v>1281289.15718491</v>
      </c>
      <c r="W61" s="17" t="n">
        <f aca="false">T61+U61+V61</f>
        <v>26933005.2555832</v>
      </c>
      <c r="X61" s="17" t="n">
        <f aca="false">J61*Допущения!$F$37</f>
        <v>20000</v>
      </c>
      <c r="Y61" s="17" t="n">
        <f aca="false">(R61*Допущения!$F$47+S61*Допущения!$F$49)*D61*Допущения!$F$9</f>
        <v>26038942.401024</v>
      </c>
      <c r="Z61" s="17" t="n">
        <f aca="false">(MAX(0,R61-R60)+R61*Допущения!$F$50/12)*Допущения!$F$51*D61</f>
        <v>500829.9984</v>
      </c>
      <c r="AA61" s="17" t="n">
        <f aca="false">O61*(Допущения!$F$53+Допущения!$F$54)+(L61*F61+N61*Допущения!$F$28*E61)*Допущения!$F$13</f>
        <v>5200724.24175874</v>
      </c>
      <c r="AB61" s="17" t="n">
        <f aca="false">(R61+S61)*Допущения!$F$52</f>
        <v>445500</v>
      </c>
      <c r="AC61" s="17" t="n">
        <f aca="false">SUMPRODUCT(Допущения!$B$84:$B$91,Допущения!$C$84:$C$91,--(Допущения!$D$84:$D$91&lt;=A61))*D61*Допущения!$F$9</f>
        <v>2674748.5051392</v>
      </c>
      <c r="AD61" s="17" t="n">
        <f aca="false">(AC61+Y61)*Допущения!$F$14</f>
        <v>2871369.09061632</v>
      </c>
      <c r="AE61" s="17" t="n">
        <f aca="false">Допущения!$F$55+Допущения!$F$56*O61/1000+Допущения!$F$57</f>
        <v>223369.214494165</v>
      </c>
      <c r="AF61" s="17" t="n">
        <f aca="false">SUMIF(Допущения!$B$95:$B$103,A61,Допущения!$C$95:$C$103)</f>
        <v>0</v>
      </c>
      <c r="AG61" s="17" t="n">
        <v>0</v>
      </c>
      <c r="AH61" s="17" t="n">
        <f aca="false">G61+SUM(X61:AG61)</f>
        <v>40475483.4514324</v>
      </c>
      <c r="AI61" s="17" t="n">
        <f aca="false">W61-AH61</f>
        <v>-13542478.1958492</v>
      </c>
      <c r="AJ61" s="17" t="n">
        <f aca="false">AJ60+AI61</f>
        <v>-497493540.743118</v>
      </c>
      <c r="AK61" s="17" t="n">
        <f aca="false">O61*Допущения!$F$58*Допущения!$F$59</f>
        <v>343898.00978843</v>
      </c>
      <c r="AL61" s="17" t="n">
        <f aca="false">T61*Допущения!$F$72</f>
        <v>1140187.34052311</v>
      </c>
      <c r="AM61" s="17" t="n">
        <f aca="false">IF(MOD(A61,12)=0,INDEX($F$70:$F$74,B61),0)</f>
        <v>0</v>
      </c>
      <c r="AN61" s="17" t="n">
        <f aca="false">AI61-AM61</f>
        <v>-13542478.1958492</v>
      </c>
      <c r="AO61" s="26" t="n">
        <f aca="false">1/(1+Допущения!$F$74)^A61</f>
        <v>0.395355201385764</v>
      </c>
      <c r="AP61" s="21" t="str">
        <f aca="false">IF(AND(A61&gt;Допущения!$F$19,MIN(AI61:AI$65)&gt;0),A61,"")</f>
        <v/>
      </c>
      <c r="AQ61" s="21" t="str">
        <f aca="false">IF(MIN(AJ61:AJ$65)&gt;0,A61,"")</f>
        <v/>
      </c>
    </row>
    <row r="62" customFormat="false" ht="15" hidden="false" customHeight="false" outlineLevel="0" collapsed="false">
      <c r="A62" s="28" t="n">
        <v>57</v>
      </c>
      <c r="B62" s="28" t="n">
        <f aca="false">INT((A62-1)/12)+1</f>
        <v>5</v>
      </c>
      <c r="C62" s="12" t="s">
        <v>462</v>
      </c>
      <c r="D62" s="15" t="n">
        <f aca="false">(1+Допущения!$F$11)^(B62-1)</f>
        <v>1.36048896</v>
      </c>
      <c r="E62" s="15" t="n">
        <f aca="false">(1+Допущения!$F$12)^(B62-1)</f>
        <v>1.31079601</v>
      </c>
      <c r="F62" s="17" t="n">
        <f aca="false">Допущения!$F$71*E62</f>
        <v>3232.0035059368</v>
      </c>
      <c r="G62" s="17" t="n">
        <f aca="false">MIN(G61*(1+Допущения!$F$33),Допущения!$F$34)</f>
        <v>2500000</v>
      </c>
      <c r="H62" s="25" t="n">
        <f aca="false">MIN(Допущения!$F$30,G62/Допущения!$F$29)</f>
        <v>300</v>
      </c>
      <c r="I62" s="25" t="n">
        <f aca="false">MAX(0,G62-H62*Допущения!$F$29)/Допущения!$F$31</f>
        <v>341.666666666667</v>
      </c>
      <c r="J62" s="25" t="n">
        <f aca="false">IF(A62&gt;=Допущения!$F$35,Допущения!$F$36,0)</f>
        <v>40</v>
      </c>
      <c r="K62" s="25" t="n">
        <f aca="false">H62+I62+J62</f>
        <v>681.666666666667</v>
      </c>
      <c r="L62" s="25" t="n">
        <f aca="false">(L61-K61)*(1-Допущения!$F$44)+K61*(1-Допущения!$F$43)+K62</f>
        <v>8576.09211131974</v>
      </c>
      <c r="M62" s="25" t="n">
        <f aca="false">IF(A62&gt;=Допущения!$F$38,Допущения!$F$73/Допущения!$F$42*MIN(Допущения!$F$42,A62-Допущения!$F$38+1),0)</f>
        <v>60</v>
      </c>
      <c r="N62" s="25" t="n">
        <f aca="false">N61*(1-Допущения!$F$45)+M62</f>
        <v>1907.3423190529</v>
      </c>
      <c r="O62" s="25" t="n">
        <f aca="false">L62+N62</f>
        <v>10483.4344303726</v>
      </c>
      <c r="P62" s="25" t="n">
        <f aca="false">L62*Допущения!$F$25</f>
        <v>2572.82763339592</v>
      </c>
      <c r="Q62" s="25" t="n">
        <f aca="false">L62*(1-Допущения!$F$25)+N62</f>
        <v>7910.60679697672</v>
      </c>
      <c r="R62" s="17" t="n">
        <f aca="false">MAX(Допущения!$F$18,ROUNDUP(Q62/Допущения!$F$68+P62/Допущения!$F$69,0))</f>
        <v>151</v>
      </c>
      <c r="S62" s="17" t="n">
        <f aca="false">ROUNDUP(R62/Допущения!$F$48,0)</f>
        <v>16</v>
      </c>
      <c r="T62" s="17" t="n">
        <f aca="false">L62*F62/(1+Допущения!$F$6)</f>
        <v>22719639.1565757</v>
      </c>
      <c r="U62" s="17" t="n">
        <f aca="false">N62*Допущения!$F$28*E62/(1+Допущения!$F$6)</f>
        <v>3073938.56744101</v>
      </c>
      <c r="V62" s="17" t="n">
        <f aca="false">O62*Допущения!$F$26*Допущения!$F$27/(1+Допущения!$F$6)</f>
        <v>1288946.85619336</v>
      </c>
      <c r="W62" s="17" t="n">
        <f aca="false">T62+U62+V62</f>
        <v>27082524.5802101</v>
      </c>
      <c r="X62" s="17" t="n">
        <f aca="false">J62*Допущения!$F$37</f>
        <v>20000</v>
      </c>
      <c r="Y62" s="17" t="n">
        <f aca="false">(R62*Допущения!$F$47+S62*Допущения!$F$49)*D62*Допущения!$F$9</f>
        <v>26419784.0755968</v>
      </c>
      <c r="Z62" s="17" t="n">
        <f aca="false">(MAX(0,R62-R61)+R62*Допущения!$F$50/12)*Допущения!$F$51*D62</f>
        <v>503465.94576</v>
      </c>
      <c r="AA62" s="17" t="n">
        <f aca="false">O62*(Допущения!$F$53+Допущения!$F$54)+(L62*F62+N62*Допущения!$F$28*E62)*Допущения!$F$13</f>
        <v>5231555.28833523</v>
      </c>
      <c r="AB62" s="17" t="n">
        <f aca="false">(R62+S62)*Допущения!$F$52</f>
        <v>450900</v>
      </c>
      <c r="AC62" s="17" t="n">
        <f aca="false">SUMPRODUCT(Допущения!$B$84:$B$91,Допущения!$C$84:$C$91,--(Допущения!$D$84:$D$91&lt;=A62))*D62*Допущения!$F$9</f>
        <v>2674748.5051392</v>
      </c>
      <c r="AD62" s="17" t="n">
        <f aca="false">(AC62+Y62)*Допущения!$F$14</f>
        <v>2909453.2580736</v>
      </c>
      <c r="AE62" s="17" t="n">
        <f aca="false">Допущения!$F$55+Допущения!$F$56*O62/1000+Допущения!$F$57</f>
        <v>223867.475442981</v>
      </c>
      <c r="AF62" s="17" t="n">
        <f aca="false">SUMIF(Допущения!$B$95:$B$103,A62,Допущения!$C$95:$C$103)</f>
        <v>0</v>
      </c>
      <c r="AG62" s="17" t="n">
        <v>0</v>
      </c>
      <c r="AH62" s="17" t="n">
        <f aca="false">G62+SUM(X62:AG62)</f>
        <v>40933774.5483478</v>
      </c>
      <c r="AI62" s="17" t="n">
        <f aca="false">W62-AH62</f>
        <v>-13851249.9681378</v>
      </c>
      <c r="AJ62" s="17" t="n">
        <f aca="false">AJ61+AI62</f>
        <v>-511344790.711256</v>
      </c>
      <c r="AK62" s="17" t="n">
        <f aca="false">O62*Допущения!$F$58*Допущения!$F$59</f>
        <v>345953.336202297</v>
      </c>
      <c r="AL62" s="17" t="n">
        <f aca="false">T62*Допущения!$F$72</f>
        <v>1145528.0247013</v>
      </c>
      <c r="AM62" s="17" t="n">
        <f aca="false">IF(MOD(A62,12)=0,INDEX($F$70:$F$74,B62),0)</f>
        <v>0</v>
      </c>
      <c r="AN62" s="17" t="n">
        <f aca="false">AI62-AM62</f>
        <v>-13851249.9681378</v>
      </c>
      <c r="AO62" s="26" t="n">
        <f aca="false">1/(1+Допущения!$F$74)^A62</f>
        <v>0.388857790610666</v>
      </c>
      <c r="AP62" s="21" t="str">
        <f aca="false">IF(AND(A62&gt;Допущения!$F$19,MIN(AI62:AI$65)&gt;0),A62,"")</f>
        <v/>
      </c>
      <c r="AQ62" s="21" t="str">
        <f aca="false">IF(MIN(AJ62:AJ$65)&gt;0,A62,"")</f>
        <v/>
      </c>
    </row>
    <row r="63" customFormat="false" ht="15" hidden="false" customHeight="false" outlineLevel="0" collapsed="false">
      <c r="A63" s="28" t="n">
        <v>58</v>
      </c>
      <c r="B63" s="28" t="n">
        <f aca="false">INT((A63-1)/12)+1</f>
        <v>5</v>
      </c>
      <c r="C63" s="12" t="s">
        <v>462</v>
      </c>
      <c r="D63" s="15" t="n">
        <f aca="false">(1+Допущения!$F$11)^(B63-1)</f>
        <v>1.36048896</v>
      </c>
      <c r="E63" s="15" t="n">
        <f aca="false">(1+Допущения!$F$12)^(B63-1)</f>
        <v>1.31079601</v>
      </c>
      <c r="F63" s="17" t="n">
        <f aca="false">Допущения!$F$71*E63</f>
        <v>3232.0035059368</v>
      </c>
      <c r="G63" s="17" t="n">
        <f aca="false">MIN(G62*(1+Допущения!$F$33),Допущения!$F$34)</f>
        <v>2500000</v>
      </c>
      <c r="H63" s="25" t="n">
        <f aca="false">MIN(Допущения!$F$30,G63/Допущения!$F$29)</f>
        <v>300</v>
      </c>
      <c r="I63" s="25" t="n">
        <f aca="false">MAX(0,G63-H63*Допущения!$F$29)/Допущения!$F$31</f>
        <v>341.666666666667</v>
      </c>
      <c r="J63" s="25" t="n">
        <f aca="false">IF(A63&gt;=Допущения!$F$35,Допущения!$F$36,0)</f>
        <v>40</v>
      </c>
      <c r="K63" s="25" t="n">
        <f aca="false">H63+I63+J63</f>
        <v>681.666666666667</v>
      </c>
      <c r="L63" s="25" t="n">
        <f aca="false">(L62-K62)*(1-Допущения!$F$44)+K62*(1-Допущения!$F$43)+K63</f>
        <v>8613.67658464055</v>
      </c>
      <c r="M63" s="25" t="n">
        <f aca="false">IF(A63&gt;=Допущения!$F$38,Допущения!$F$73/Допущения!$F$42*MIN(Допущения!$F$42,A63-Допущения!$F$38+1),0)</f>
        <v>60</v>
      </c>
      <c r="N63" s="25" t="n">
        <f aca="false">N62*(1-Допущения!$F$45)+M63</f>
        <v>1929.19547267184</v>
      </c>
      <c r="O63" s="25" t="n">
        <f aca="false">L63+N63</f>
        <v>10542.8720573124</v>
      </c>
      <c r="P63" s="25" t="n">
        <f aca="false">L63*Допущения!$F$25</f>
        <v>2584.10297539217</v>
      </c>
      <c r="Q63" s="25" t="n">
        <f aca="false">L63*(1-Допущения!$F$25)+N63</f>
        <v>7958.76908192023</v>
      </c>
      <c r="R63" s="17" t="n">
        <f aca="false">MAX(Допущения!$F$18,ROUNDUP(Q63/Допущения!$F$68+P63/Допущения!$F$69,0))</f>
        <v>152</v>
      </c>
      <c r="S63" s="17" t="n">
        <f aca="false">ROUNDUP(R63/Допущения!$F$48,0)</f>
        <v>16</v>
      </c>
      <c r="T63" s="17" t="n">
        <f aca="false">L63*F63/(1+Допущения!$F$6)</f>
        <v>22819207.3119377</v>
      </c>
      <c r="U63" s="17" t="n">
        <f aca="false">N63*Допущения!$F$28*E63/(1+Допущения!$F$6)</f>
        <v>3109157.86240366</v>
      </c>
      <c r="V63" s="17" t="n">
        <f aca="false">O63*Допущения!$F$26*Допущения!$F$27/(1+Допущения!$F$6)</f>
        <v>1296254.76114497</v>
      </c>
      <c r="W63" s="17" t="n">
        <f aca="false">T63+U63+V63</f>
        <v>27224619.9354863</v>
      </c>
      <c r="X63" s="17" t="n">
        <f aca="false">J63*Допущения!$F$37</f>
        <v>20000</v>
      </c>
      <c r="Y63" s="17" t="n">
        <f aca="false">(R63*Допущения!$F$47+S63*Допущения!$F$49)*D63*Допущения!$F$9</f>
        <v>26570349.3888</v>
      </c>
      <c r="Z63" s="17" t="n">
        <f aca="false">(MAX(0,R63-R62)+R63*Допущения!$F$50/12)*Допущения!$F$51*D63</f>
        <v>506101.89312</v>
      </c>
      <c r="AA63" s="17" t="n">
        <f aca="false">O63*(Допущения!$F$53+Допущения!$F$54)+(L63*F63+N63*Допущения!$F$28*E63)*Допущения!$F$13</f>
        <v>5260964.96473255</v>
      </c>
      <c r="AB63" s="17" t="n">
        <f aca="false">(R63+S63)*Допущения!$F$52</f>
        <v>453600</v>
      </c>
      <c r="AC63" s="17" t="n">
        <f aca="false">SUMPRODUCT(Допущения!$B$84:$B$91,Допущения!$C$84:$C$91,--(Допущения!$D$84:$D$91&lt;=A63))*D63*Допущения!$F$9</f>
        <v>2674748.5051392</v>
      </c>
      <c r="AD63" s="17" t="n">
        <f aca="false">(AC63+Y63)*Допущения!$F$14</f>
        <v>2924509.78939392</v>
      </c>
      <c r="AE63" s="17" t="n">
        <f aca="false">Допущения!$F$55+Допущения!$F$56*O63/1000+Допущения!$F$57</f>
        <v>224342.976458499</v>
      </c>
      <c r="AF63" s="17" t="n">
        <f aca="false">SUMIF(Допущения!$B$95:$B$103,A63,Допущения!$C$95:$C$103)</f>
        <v>0</v>
      </c>
      <c r="AG63" s="17" t="n">
        <v>0</v>
      </c>
      <c r="AH63" s="17" t="n">
        <f aca="false">G63+SUM(X63:AG63)</f>
        <v>41134617.5176442</v>
      </c>
      <c r="AI63" s="17" t="n">
        <f aca="false">W63-AH63</f>
        <v>-13909997.5821579</v>
      </c>
      <c r="AJ63" s="17" t="n">
        <f aca="false">AJ62+AI63</f>
        <v>-525254788.293414</v>
      </c>
      <c r="AK63" s="17" t="n">
        <f aca="false">O63*Допущения!$F$58*Допущения!$F$59</f>
        <v>347914.777891309</v>
      </c>
      <c r="AL63" s="17" t="n">
        <f aca="false">T63*Допущения!$F$72</f>
        <v>1150548.26782879</v>
      </c>
      <c r="AM63" s="17" t="n">
        <f aca="false">IF(MOD(A63,12)=0,INDEX($F$70:$F$74,B63),0)</f>
        <v>0</v>
      </c>
      <c r="AN63" s="17" t="n">
        <f aca="false">AI63-AM63</f>
        <v>-13909997.5821579</v>
      </c>
      <c r="AO63" s="26" t="n">
        <f aca="false">1/(1+Допущения!$F$74)^A63</f>
        <v>0.38246716064086</v>
      </c>
      <c r="AP63" s="21" t="str">
        <f aca="false">IF(AND(A63&gt;Допущения!$F$19,MIN(AI63:AI$65)&gt;0),A63,"")</f>
        <v/>
      </c>
      <c r="AQ63" s="21" t="str">
        <f aca="false">IF(MIN(AJ63:AJ$65)&gt;0,A63,"")</f>
        <v/>
      </c>
    </row>
    <row r="64" customFormat="false" ht="15" hidden="false" customHeight="false" outlineLevel="0" collapsed="false">
      <c r="A64" s="28" t="n">
        <v>59</v>
      </c>
      <c r="B64" s="28" t="n">
        <f aca="false">INT((A64-1)/12)+1</f>
        <v>5</v>
      </c>
      <c r="C64" s="12" t="s">
        <v>462</v>
      </c>
      <c r="D64" s="15" t="n">
        <f aca="false">(1+Допущения!$F$11)^(B64-1)</f>
        <v>1.36048896</v>
      </c>
      <c r="E64" s="15" t="n">
        <f aca="false">(1+Допущения!$F$12)^(B64-1)</f>
        <v>1.31079601</v>
      </c>
      <c r="F64" s="17" t="n">
        <f aca="false">Допущения!$F$71*E64</f>
        <v>3232.0035059368</v>
      </c>
      <c r="G64" s="17" t="n">
        <f aca="false">MIN(G63*(1+Допущения!$F$33),Допущения!$F$34)</f>
        <v>2500000</v>
      </c>
      <c r="H64" s="25" t="n">
        <f aca="false">MIN(Допущения!$F$30,G64/Допущения!$F$29)</f>
        <v>300</v>
      </c>
      <c r="I64" s="25" t="n">
        <f aca="false">MAX(0,G64-H64*Допущения!$F$29)/Допущения!$F$31</f>
        <v>341.666666666667</v>
      </c>
      <c r="J64" s="25" t="n">
        <f aca="false">IF(A64&gt;=Допущения!$F$35,Допущения!$F$36,0)</f>
        <v>40</v>
      </c>
      <c r="K64" s="25" t="n">
        <f aca="false">H64+I64+J64</f>
        <v>681.666666666667</v>
      </c>
      <c r="L64" s="25" t="n">
        <f aca="false">(L63-K63)*(1-Допущения!$F$44)+K63*(1-Допущения!$F$43)+K64</f>
        <v>8649.00598956212</v>
      </c>
      <c r="M64" s="25" t="n">
        <f aca="false">IF(A64&gt;=Допущения!$F$38,Допущения!$F$73/Допущения!$F$42*MIN(Допущения!$F$42,A64-Допущения!$F$38+1),0)</f>
        <v>60</v>
      </c>
      <c r="N64" s="25" t="n">
        <f aca="false">N63*(1-Допущения!$F$45)+M64</f>
        <v>1950.6115632184</v>
      </c>
      <c r="O64" s="25" t="n">
        <f aca="false">L64+N64</f>
        <v>10599.6175527805</v>
      </c>
      <c r="P64" s="25" t="n">
        <f aca="false">L64*Допущения!$F$25</f>
        <v>2594.70179686864</v>
      </c>
      <c r="Q64" s="25" t="n">
        <f aca="false">L64*(1-Допущения!$F$25)+N64</f>
        <v>8004.91575591189</v>
      </c>
      <c r="R64" s="17" t="n">
        <f aca="false">MAX(Допущения!$F$18,ROUNDUP(Q64/Допущения!$F$68+P64/Допущения!$F$69,0))</f>
        <v>153</v>
      </c>
      <c r="S64" s="17" t="n">
        <f aca="false">ROUNDUP(R64/Допущения!$F$48,0)</f>
        <v>16</v>
      </c>
      <c r="T64" s="17" t="n">
        <f aca="false">L64*F64/(1+Допущения!$F$6)</f>
        <v>22912801.377978</v>
      </c>
      <c r="U64" s="17" t="n">
        <f aca="false">N64*Допущения!$F$28*E64/(1+Допущения!$F$6)</f>
        <v>3143672.77146707</v>
      </c>
      <c r="V64" s="17" t="n">
        <f aca="false">O64*Допущения!$F$26*Допущения!$F$27/(1+Допущения!$F$6)</f>
        <v>1303231.66632547</v>
      </c>
      <c r="W64" s="17" t="n">
        <f aca="false">T64+U64+V64</f>
        <v>27359705.8157705</v>
      </c>
      <c r="X64" s="17" t="n">
        <f aca="false">J64*Допущения!$F$37</f>
        <v>20000</v>
      </c>
      <c r="Y64" s="17" t="n">
        <f aca="false">(R64*Допущения!$F$47+S64*Допущения!$F$49)*D64*Допущения!$F$9</f>
        <v>26720914.7020032</v>
      </c>
      <c r="Z64" s="17" t="n">
        <f aca="false">(MAX(0,R64-R63)+R64*Допущения!$F$50/12)*Допущения!$F$51*D64</f>
        <v>508737.84048</v>
      </c>
      <c r="AA64" s="17" t="n">
        <f aca="false">O64*(Допущения!$F$53+Допущения!$F$54)+(L64*F64+N64*Допущения!$F$28*E64)*Допущения!$F$13</f>
        <v>5289029.98330915</v>
      </c>
      <c r="AB64" s="17" t="n">
        <f aca="false">(R64+S64)*Допущения!$F$52</f>
        <v>456300</v>
      </c>
      <c r="AC64" s="17" t="n">
        <f aca="false">SUMPRODUCT(Допущения!$B$84:$B$91,Допущения!$C$84:$C$91,--(Допущения!$D$84:$D$91&lt;=A64))*D64*Допущения!$F$9</f>
        <v>2674748.5051392</v>
      </c>
      <c r="AD64" s="17" t="n">
        <f aca="false">(AC64+Y64)*Допущения!$F$14</f>
        <v>2939566.32071424</v>
      </c>
      <c r="AE64" s="17" t="n">
        <f aca="false">Допущения!$F$55+Допущения!$F$56*O64/1000+Допущения!$F$57</f>
        <v>224796.940422244</v>
      </c>
      <c r="AF64" s="17" t="n">
        <f aca="false">SUMIF(Допущения!$B$95:$B$103,A64,Допущения!$C$95:$C$103)</f>
        <v>0</v>
      </c>
      <c r="AG64" s="17" t="n">
        <v>0</v>
      </c>
      <c r="AH64" s="17" t="n">
        <f aca="false">G64+SUM(X64:AG64)</f>
        <v>41334094.292068</v>
      </c>
      <c r="AI64" s="17" t="n">
        <f aca="false">W64-AH64</f>
        <v>-13974388.4762975</v>
      </c>
      <c r="AJ64" s="17" t="n">
        <f aca="false">AJ63+AI64</f>
        <v>-539229176.769711</v>
      </c>
      <c r="AK64" s="17" t="n">
        <f aca="false">O64*Допущения!$F$58*Допущения!$F$59</f>
        <v>349787.379241757</v>
      </c>
      <c r="AL64" s="17" t="n">
        <f aca="false">T64*Допущения!$F$72</f>
        <v>1155267.29636864</v>
      </c>
      <c r="AM64" s="17" t="n">
        <f aca="false">IF(MOD(A64,12)=0,INDEX($F$70:$F$74,B64),0)</f>
        <v>0</v>
      </c>
      <c r="AN64" s="17" t="n">
        <f aca="false">AI64-AM64</f>
        <v>-13974388.4762975</v>
      </c>
      <c r="AO64" s="26" t="n">
        <f aca="false">1/(1+Допущения!$F$74)^A64</f>
        <v>0.376181556601862</v>
      </c>
      <c r="AP64" s="21" t="str">
        <f aca="false">IF(AND(A64&gt;Допущения!$F$19,MIN(AI64:AI$65)&gt;0),A64,"")</f>
        <v/>
      </c>
      <c r="AQ64" s="21" t="str">
        <f aca="false">IF(MIN(AJ64:AJ$65)&gt;0,A64,"")</f>
        <v/>
      </c>
    </row>
    <row r="65" customFormat="false" ht="15" hidden="false" customHeight="false" outlineLevel="0" collapsed="false">
      <c r="A65" s="28" t="n">
        <v>60</v>
      </c>
      <c r="B65" s="28" t="n">
        <f aca="false">INT((A65-1)/12)+1</f>
        <v>5</v>
      </c>
      <c r="C65" s="12" t="s">
        <v>462</v>
      </c>
      <c r="D65" s="15" t="n">
        <f aca="false">(1+Допущения!$F$11)^(B65-1)</f>
        <v>1.36048896</v>
      </c>
      <c r="E65" s="15" t="n">
        <f aca="false">(1+Допущения!$F$12)^(B65-1)</f>
        <v>1.31079601</v>
      </c>
      <c r="F65" s="17" t="n">
        <f aca="false">Допущения!$F$71*E65</f>
        <v>3232.0035059368</v>
      </c>
      <c r="G65" s="17" t="n">
        <f aca="false">MIN(G64*(1+Допущения!$F$33),Допущения!$F$34)</f>
        <v>2500000</v>
      </c>
      <c r="H65" s="25" t="n">
        <f aca="false">MIN(Допущения!$F$30,G65/Допущения!$F$29)</f>
        <v>300</v>
      </c>
      <c r="I65" s="25" t="n">
        <f aca="false">MAX(0,G65-H65*Допущения!$F$29)/Допущения!$F$31</f>
        <v>341.666666666667</v>
      </c>
      <c r="J65" s="25" t="n">
        <f aca="false">IF(A65&gt;=Допущения!$F$35,Допущения!$F$36,0)</f>
        <v>40</v>
      </c>
      <c r="K65" s="25" t="n">
        <f aca="false">H65+I65+J65</f>
        <v>681.666666666667</v>
      </c>
      <c r="L65" s="25" t="n">
        <f aca="false">(L64-K64)*(1-Допущения!$F$44)+K64*(1-Допущения!$F$43)+K65</f>
        <v>8682.21563018839</v>
      </c>
      <c r="M65" s="25" t="n">
        <f aca="false">IF(A65&gt;=Допущения!$F$38,Допущения!$F$73/Допущения!$F$42*MIN(Допущения!$F$42,A65-Допущения!$F$38+1),0)</f>
        <v>60</v>
      </c>
      <c r="N65" s="25" t="n">
        <f aca="false">N64*(1-Допущения!$F$45)+M65</f>
        <v>1971.59933195404</v>
      </c>
      <c r="O65" s="25" t="n">
        <f aca="false">L65+N65</f>
        <v>10653.8149621424</v>
      </c>
      <c r="P65" s="25" t="n">
        <f aca="false">L65*Допущения!$F$25</f>
        <v>2604.66468905652</v>
      </c>
      <c r="Q65" s="25" t="n">
        <f aca="false">L65*(1-Допущения!$F$25)+N65</f>
        <v>8049.15027308591</v>
      </c>
      <c r="R65" s="17" t="n">
        <f aca="false">MAX(Допущения!$F$18,ROUNDUP(Q65/Допущения!$F$68+P65/Допущения!$F$69,0))</f>
        <v>153</v>
      </c>
      <c r="S65" s="17" t="n">
        <f aca="false">ROUNDUP(R65/Допущения!$F$48,0)</f>
        <v>16</v>
      </c>
      <c r="T65" s="17" t="n">
        <f aca="false">L65*F65/(1+Допущения!$F$6)</f>
        <v>23000779.8000559</v>
      </c>
      <c r="U65" s="17" t="n">
        <f aca="false">N65*Допущения!$F$28*E65/(1+Допущения!$F$6)</f>
        <v>3177497.3823492</v>
      </c>
      <c r="V65" s="17" t="n">
        <f aca="false">O65*Допущения!$F$26*Допущения!$F$27/(1+Допущения!$F$6)</f>
        <v>1309895.28223063</v>
      </c>
      <c r="W65" s="17" t="n">
        <f aca="false">T65+U65+V65</f>
        <v>27488172.4646357</v>
      </c>
      <c r="X65" s="17" t="n">
        <f aca="false">J65*Допущения!$F$37</f>
        <v>20000</v>
      </c>
      <c r="Y65" s="17" t="n">
        <f aca="false">(R65*Допущения!$F$47+S65*Допущения!$F$49)*D65*Допущения!$F$9</f>
        <v>26720914.7020032</v>
      </c>
      <c r="Z65" s="17" t="n">
        <f aca="false">(MAX(0,R65-R64)+R65*Допущения!$F$50/12)*Допущения!$F$51*D65</f>
        <v>403299.94608</v>
      </c>
      <c r="AA65" s="17" t="n">
        <f aca="false">O65*(Допущения!$F$53+Допущения!$F$54)+(L65*F65+N65*Допущения!$F$28*E65)*Допущения!$F$13</f>
        <v>5315822.625079</v>
      </c>
      <c r="AB65" s="17" t="n">
        <f aca="false">(R65+S65)*Допущения!$F$52</f>
        <v>456300</v>
      </c>
      <c r="AC65" s="17" t="n">
        <f aca="false">SUMPRODUCT(Допущения!$B$84:$B$91,Допущения!$C$84:$C$91,--(Допущения!$D$84:$D$91&lt;=A65))*D65*Допущения!$F$9</f>
        <v>2674748.5051392</v>
      </c>
      <c r="AD65" s="17" t="n">
        <f aca="false">(AC65+Y65)*Допущения!$F$14</f>
        <v>2939566.32071424</v>
      </c>
      <c r="AE65" s="17" t="n">
        <f aca="false">Допущения!$F$55+Допущения!$F$56*O65/1000+Допущения!$F$57</f>
        <v>225230.519697139</v>
      </c>
      <c r="AF65" s="17" t="n">
        <f aca="false">SUMIF(Допущения!$B$95:$B$103,A65,Допущения!$C$95:$C$103)</f>
        <v>0</v>
      </c>
      <c r="AG65" s="17" t="n">
        <v>0</v>
      </c>
      <c r="AH65" s="17" t="n">
        <f aca="false">G65+SUM(X65:AG65)</f>
        <v>41255882.6187128</v>
      </c>
      <c r="AI65" s="17" t="n">
        <f aca="false">W65-AH65</f>
        <v>-13767710.1540771</v>
      </c>
      <c r="AJ65" s="17" t="n">
        <f aca="false">AJ64+AI65</f>
        <v>-552996886.923788</v>
      </c>
      <c r="AK65" s="17" t="n">
        <f aca="false">O65*Допущения!$F$58*Допущения!$F$59</f>
        <v>351575.8937507</v>
      </c>
      <c r="AL65" s="17" t="n">
        <f aca="false">T65*Допущения!$F$72</f>
        <v>1159703.18319609</v>
      </c>
      <c r="AM65" s="17" t="n">
        <f aca="false">IF(MOD(A65,12)=0,INDEX($F$70:$F$74,B65),0)</f>
        <v>0</v>
      </c>
      <c r="AN65" s="17" t="n">
        <f aca="false">AI65-AM65</f>
        <v>-13767710.1540771</v>
      </c>
      <c r="AO65" s="26" t="n">
        <f aca="false">1/(1+Допущения!$F$74)^A65</f>
        <v>0.369999252459433</v>
      </c>
      <c r="AP65" s="21" t="str">
        <f aca="false">IF(AND(A65&gt;Допущения!$F$19,MIN(AI65:AI$65)&gt;0),A65,"")</f>
        <v/>
      </c>
      <c r="AQ65" s="21" t="str">
        <f aca="false">IF(MIN(AJ65:AJ$65)&gt;0,A65,"")</f>
        <v/>
      </c>
    </row>
    <row r="68" customFormat="false" ht="15" hidden="false" customHeight="false" outlineLevel="0" collapsed="false">
      <c r="A68" s="6" t="s">
        <v>463</v>
      </c>
    </row>
    <row r="69" customFormat="false" ht="48" hidden="false" customHeight="true" outlineLevel="0" collapsed="false">
      <c r="A69" s="11" t="s">
        <v>419</v>
      </c>
      <c r="B69" s="11" t="s">
        <v>464</v>
      </c>
      <c r="C69" s="11" t="s">
        <v>452</v>
      </c>
      <c r="D69" s="11" t="s">
        <v>465</v>
      </c>
      <c r="E69" s="11" t="s">
        <v>466</v>
      </c>
      <c r="F69" s="11" t="s">
        <v>456</v>
      </c>
      <c r="G69" s="11" t="s">
        <v>467</v>
      </c>
      <c r="H69" s="11" t="s">
        <v>468</v>
      </c>
    </row>
    <row r="70" customFormat="false" ht="15" hidden="false" customHeight="false" outlineLevel="0" collapsed="false">
      <c r="A70" s="28" t="n">
        <v>1</v>
      </c>
      <c r="B70" s="17" t="n">
        <f aca="false">SUMIF($B$6:$B$65,A70,$W$6:$W$65)</f>
        <v>26337800.3991407</v>
      </c>
      <c r="C70" s="17" t="n">
        <f aca="false">SUMIF($B$6:$B$65,A70,$AI$6:$AI$65)</f>
        <v>-43302771.8795945</v>
      </c>
      <c r="D70" s="17" t="n">
        <v>0</v>
      </c>
      <c r="E70" s="17" t="n">
        <f aca="false">IF(C70&gt;0,MIN(D70,C70*Допущения!$F$8),0)</f>
        <v>0</v>
      </c>
      <c r="F70" s="17" t="n">
        <f aca="false">IF(C70&gt;0,(C70-E70)*Допущения!$F$7,0)</f>
        <v>0</v>
      </c>
      <c r="G70" s="17" t="n">
        <f aca="false">D70+IF(C70&lt;0,-C70,0)-E70</f>
        <v>43302771.8795945</v>
      </c>
      <c r="H70" s="17" t="n">
        <f aca="false">SUMIF($B$6:$B$65,A70,$AK$6:$AK$65)</f>
        <v>412171.642689717</v>
      </c>
    </row>
    <row r="71" customFormat="false" ht="15" hidden="false" customHeight="false" outlineLevel="0" collapsed="false">
      <c r="A71" s="28" t="n">
        <v>2</v>
      </c>
      <c r="B71" s="17" t="n">
        <f aca="false">SUMIF($B$6:$B$65,A71,$W$6:$W$65)</f>
        <v>103841498.519457</v>
      </c>
      <c r="C71" s="17" t="n">
        <f aca="false">SUMIF($B$6:$B$65,A71,$AI$6:$AI$65)</f>
        <v>-79712783.32491</v>
      </c>
      <c r="D71" s="17" t="n">
        <f aca="false">G70</f>
        <v>43302771.8795945</v>
      </c>
      <c r="E71" s="17" t="n">
        <f aca="false">IF(C71&gt;0,MIN(D71,C71*Допущения!$F$8),0)</f>
        <v>0</v>
      </c>
      <c r="F71" s="17" t="n">
        <f aca="false">IF(C71&gt;0,(C71-E71)*Допущения!$F$7,0)</f>
        <v>0</v>
      </c>
      <c r="G71" s="17" t="n">
        <f aca="false">D71+IF(C71&lt;0,-C71,0)-E71</f>
        <v>123015555.204504</v>
      </c>
      <c r="H71" s="17" t="n">
        <f aca="false">SUMIF($B$6:$B$65,A71,$AK$6:$AK$65)</f>
        <v>1589743.38182393</v>
      </c>
    </row>
    <row r="72" customFormat="false" ht="15" hidden="false" customHeight="false" outlineLevel="0" collapsed="false">
      <c r="A72" s="28" t="n">
        <v>3</v>
      </c>
      <c r="B72" s="17" t="n">
        <f aca="false">SUMIF($B$6:$B$65,A72,$W$6:$W$65)</f>
        <v>193411241.507068</v>
      </c>
      <c r="C72" s="17" t="n">
        <f aca="false">SUMIF($B$6:$B$65,A72,$AI$6:$AI$65)</f>
        <v>-121939427.576375</v>
      </c>
      <c r="D72" s="17" t="n">
        <f aca="false">G71</f>
        <v>123015555.204504</v>
      </c>
      <c r="E72" s="17" t="n">
        <f aca="false">IF(C72&gt;0,MIN(D72,C72*Допущения!$F$8),0)</f>
        <v>0</v>
      </c>
      <c r="F72" s="17" t="n">
        <f aca="false">IF(C72&gt;0,(C72-E72)*Допущения!$F$7,0)</f>
        <v>0</v>
      </c>
      <c r="G72" s="17" t="n">
        <f aca="false">D72+IF(C72&lt;0,-C72,0)-E72</f>
        <v>244954982.78088</v>
      </c>
      <c r="H72" s="17" t="n">
        <f aca="false">SUMIF($B$6:$B$65,A72,$AK$6:$AK$65)</f>
        <v>2785470.13169265</v>
      </c>
    </row>
    <row r="73" customFormat="false" ht="15" hidden="false" customHeight="false" outlineLevel="0" collapsed="false">
      <c r="A73" s="28" t="n">
        <v>4</v>
      </c>
      <c r="B73" s="17" t="n">
        <f aca="false">SUMIF($B$6:$B$65,A73,$W$6:$W$65)</f>
        <v>267921671.00822</v>
      </c>
      <c r="C73" s="17" t="n">
        <f aca="false">SUMIF($B$6:$B$65,A73,$AI$6:$AI$65)</f>
        <v>-144987462.766137</v>
      </c>
      <c r="D73" s="17" t="n">
        <f aca="false">G72</f>
        <v>244954982.78088</v>
      </c>
      <c r="E73" s="17" t="n">
        <f aca="false">IF(C73&gt;0,MIN(D73,C73*Допущения!$F$8),0)</f>
        <v>0</v>
      </c>
      <c r="F73" s="17" t="n">
        <f aca="false">IF(C73&gt;0,(C73-E73)*Допущения!$F$7,0)</f>
        <v>0</v>
      </c>
      <c r="G73" s="17" t="n">
        <f aca="false">D73+IF(C73&lt;0,-C73,0)-E73</f>
        <v>389942445.547016</v>
      </c>
      <c r="H73" s="17" t="n">
        <f aca="false">SUMIF($B$6:$B$65,A73,$AK$6:$AK$65)</f>
        <v>3628427.84105547</v>
      </c>
    </row>
    <row r="74" customFormat="false" ht="15" hidden="false" customHeight="false" outlineLevel="0" collapsed="false">
      <c r="A74" s="28" t="n">
        <v>5</v>
      </c>
      <c r="B74" s="17" t="n">
        <f aca="false">SUMIF($B$6:$B$65,A74,$W$6:$W$65)</f>
        <v>319709164.254002</v>
      </c>
      <c r="C74" s="17" t="n">
        <f aca="false">SUMIF($B$6:$B$65,A74,$AI$6:$AI$65)</f>
        <v>-163054441.376772</v>
      </c>
      <c r="D74" s="17" t="n">
        <f aca="false">G73</f>
        <v>389942445.547016</v>
      </c>
      <c r="E74" s="17" t="n">
        <f aca="false">IF(C74&gt;0,MIN(D74,C74*Допущения!$F$8),0)</f>
        <v>0</v>
      </c>
      <c r="F74" s="17" t="n">
        <f aca="false">IF(C74&gt;0,(C74-E74)*Допущения!$F$7,0)</f>
        <v>0</v>
      </c>
      <c r="G74" s="17" t="n">
        <f aca="false">D74+IF(C74&lt;0,-C74,0)-E74</f>
        <v>552996886.923788</v>
      </c>
      <c r="H74" s="17" t="n">
        <f aca="false">SUMIF($B$6:$B$65,A74,$AK$6:$AK$65)</f>
        <v>4079768.4175282</v>
      </c>
    </row>
    <row r="75" customFormat="false" ht="15" hidden="false" customHeight="false" outlineLevel="0" collapsed="false">
      <c r="A75" s="3" t="s">
        <v>212</v>
      </c>
      <c r="B75" s="30" t="n">
        <f aca="false">SUM(B70:B74)</f>
        <v>911221375.687887</v>
      </c>
      <c r="C75" s="30" t="n">
        <f aca="false">SUM(C70:C74)</f>
        <v>-552996886.923788</v>
      </c>
      <c r="D75" s="4"/>
      <c r="E75" s="4"/>
      <c r="F75" s="30" t="n">
        <f aca="false">SUM(F70:F74)</f>
        <v>0</v>
      </c>
      <c r="G75" s="4"/>
      <c r="H75" s="30" t="n">
        <f aca="false">SUM(H70:H74)</f>
        <v>12495581.41479</v>
      </c>
    </row>
  </sheetData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&amp;C&amp;"Times New Roman"Лист &amp;P из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0" t="s">
        <v>472</v>
      </c>
    </row>
    <row r="2" customFormat="false" ht="30" hidden="false" customHeight="true" outlineLevel="0" collapsed="false">
      <c r="A2" s="48" t="s">
        <v>473</v>
      </c>
      <c r="B2" s="48"/>
      <c r="C2" s="48"/>
      <c r="D2" s="48"/>
      <c r="E2" s="48"/>
    </row>
    <row r="4" customFormat="false" ht="15" hidden="false" customHeight="false" outlineLevel="0" collapsed="false">
      <c r="A4" s="3" t="s">
        <v>474</v>
      </c>
      <c r="B4" s="30" t="n">
        <v>23483259</v>
      </c>
    </row>
    <row r="6" customFormat="false" ht="15" hidden="false" customHeight="false" outlineLevel="0" collapsed="false">
      <c r="A6" s="11" t="s">
        <v>38</v>
      </c>
      <c r="B6" s="11" t="s">
        <v>475</v>
      </c>
      <c r="C6" s="11" t="s">
        <v>476</v>
      </c>
      <c r="D6" s="11" t="s">
        <v>477</v>
      </c>
      <c r="E6" s="11" t="s">
        <v>478</v>
      </c>
    </row>
    <row r="7" customFormat="false" ht="15" hidden="false" customHeight="false" outlineLevel="0" collapsed="false">
      <c r="A7" s="4" t="s">
        <v>479</v>
      </c>
      <c r="B7" s="17" t="n">
        <v>-110775180</v>
      </c>
      <c r="C7" s="17" t="n">
        <v>157741699</v>
      </c>
      <c r="D7" s="17" t="n">
        <f aca="false">ABS(C7-B7)</f>
        <v>268516879</v>
      </c>
      <c r="E7" s="28" t="n">
        <v>1</v>
      </c>
    </row>
    <row r="8" customFormat="false" ht="15" hidden="false" customHeight="false" outlineLevel="0" collapsed="false">
      <c r="A8" s="4" t="s">
        <v>480</v>
      </c>
      <c r="B8" s="17" t="n">
        <v>98617809</v>
      </c>
      <c r="C8" s="17" t="n">
        <v>-51480353</v>
      </c>
      <c r="D8" s="17" t="n">
        <f aca="false">ABS(C8-B8)</f>
        <v>150098162</v>
      </c>
      <c r="E8" s="28" t="n">
        <v>2</v>
      </c>
    </row>
    <row r="9" customFormat="false" ht="15" hidden="false" customHeight="false" outlineLevel="0" collapsed="false">
      <c r="A9" s="4" t="s">
        <v>136</v>
      </c>
      <c r="B9" s="17" t="n">
        <v>86719051</v>
      </c>
      <c r="C9" s="17" t="n">
        <v>-39752532</v>
      </c>
      <c r="D9" s="17" t="n">
        <f aca="false">ABS(C9-B9)</f>
        <v>126471583</v>
      </c>
      <c r="E9" s="28" t="n">
        <v>3</v>
      </c>
    </row>
    <row r="10" customFormat="false" ht="15" hidden="false" customHeight="false" outlineLevel="0" collapsed="false">
      <c r="A10" s="4" t="s">
        <v>481</v>
      </c>
      <c r="B10" s="17" t="n">
        <v>48549307</v>
      </c>
      <c r="C10" s="17" t="n">
        <v>4109792</v>
      </c>
      <c r="D10" s="17" t="n">
        <f aca="false">ABS(C10-B10)</f>
        <v>44439515</v>
      </c>
      <c r="E10" s="28" t="n">
        <v>4</v>
      </c>
    </row>
    <row r="11" customFormat="false" ht="15" hidden="false" customHeight="false" outlineLevel="0" collapsed="false">
      <c r="A11" s="4" t="s">
        <v>482</v>
      </c>
      <c r="B11" s="17" t="n">
        <v>44225724</v>
      </c>
      <c r="C11" s="17" t="n">
        <v>10795056</v>
      </c>
      <c r="D11" s="17" t="n">
        <f aca="false">ABS(C11-B11)</f>
        <v>33430668</v>
      </c>
      <c r="E11" s="28" t="n">
        <v>5</v>
      </c>
    </row>
    <row r="12" customFormat="false" ht="15" hidden="false" customHeight="false" outlineLevel="0" collapsed="false">
      <c r="A12" s="4" t="s">
        <v>103</v>
      </c>
      <c r="B12" s="17" t="n">
        <v>5843012</v>
      </c>
      <c r="C12" s="17" t="n">
        <v>38665797</v>
      </c>
      <c r="D12" s="17" t="n">
        <f aca="false">ABS(C12-B12)</f>
        <v>32822785</v>
      </c>
      <c r="E12" s="28" t="n">
        <v>6</v>
      </c>
    </row>
    <row r="13" customFormat="false" ht="15" hidden="false" customHeight="false" outlineLevel="0" collapsed="false">
      <c r="A13" s="4" t="s">
        <v>483</v>
      </c>
      <c r="B13" s="17" t="n">
        <v>35948446</v>
      </c>
      <c r="C13" s="17" t="n">
        <v>10576321</v>
      </c>
      <c r="D13" s="17" t="n">
        <f aca="false">ABS(C13-B13)</f>
        <v>25372125</v>
      </c>
      <c r="E13" s="28" t="n">
        <v>7</v>
      </c>
    </row>
    <row r="14" customFormat="false" ht="15" hidden="false" customHeight="false" outlineLevel="0" collapsed="false">
      <c r="A14" s="4" t="s">
        <v>484</v>
      </c>
      <c r="B14" s="17" t="n">
        <v>17293108</v>
      </c>
      <c r="C14" s="17" t="n">
        <v>29093310</v>
      </c>
      <c r="D14" s="17" t="n">
        <f aca="false">ABS(C14-B14)</f>
        <v>11800202</v>
      </c>
      <c r="E14" s="28" t="n">
        <v>8</v>
      </c>
    </row>
    <row r="15" customFormat="false" ht="15" hidden="false" customHeight="false" outlineLevel="0" collapsed="false">
      <c r="A15" s="4" t="s">
        <v>485</v>
      </c>
      <c r="B15" s="17" t="n">
        <v>19123484</v>
      </c>
      <c r="C15" s="17" t="n">
        <v>27188703</v>
      </c>
      <c r="D15" s="17" t="n">
        <f aca="false">ABS(C15-B15)</f>
        <v>8065219</v>
      </c>
      <c r="E15" s="28" t="n">
        <v>9</v>
      </c>
    </row>
    <row r="17" customFormat="false" ht="15" hidden="false" customHeight="false" outlineLevel="0" collapsed="false">
      <c r="A17" s="49" t="s">
        <v>486</v>
      </c>
    </row>
  </sheetData>
  <mergeCells count="1">
    <mergeCell ref="A2:E2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&amp;C&amp;"Times New Roman"Лист &amp;P из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0" t="s">
        <v>487</v>
      </c>
    </row>
    <row r="2" customFormat="false" ht="30" hidden="false" customHeight="true" outlineLevel="0" collapsed="false">
      <c r="A2" s="48" t="s">
        <v>473</v>
      </c>
      <c r="B2" s="48"/>
      <c r="C2" s="48"/>
      <c r="D2" s="48"/>
    </row>
    <row r="4" customFormat="false" ht="15" hidden="false" customHeight="false" outlineLevel="0" collapsed="false">
      <c r="A4" s="6" t="s">
        <v>488</v>
      </c>
    </row>
    <row r="5" customFormat="false" ht="25.35" hidden="false" customHeight="false" outlineLevel="0" collapsed="false">
      <c r="A5" s="11" t="s">
        <v>38</v>
      </c>
      <c r="B5" s="11" t="s">
        <v>489</v>
      </c>
      <c r="C5" s="11" t="s">
        <v>490</v>
      </c>
      <c r="D5" s="11" t="s">
        <v>491</v>
      </c>
    </row>
    <row r="6" customFormat="false" ht="15" hidden="false" customHeight="false" outlineLevel="0" collapsed="false">
      <c r="A6" s="4" t="s">
        <v>492</v>
      </c>
      <c r="B6" s="18" t="n">
        <v>4000</v>
      </c>
      <c r="C6" s="18" t="n">
        <v>6000</v>
      </c>
      <c r="D6" s="18" t="n">
        <v>8000</v>
      </c>
    </row>
    <row r="7" customFormat="false" ht="15" hidden="false" customHeight="false" outlineLevel="0" collapsed="false">
      <c r="A7" s="4" t="s">
        <v>493</v>
      </c>
      <c r="B7" s="18" t="n">
        <v>150</v>
      </c>
      <c r="C7" s="18" t="n">
        <v>300</v>
      </c>
      <c r="D7" s="18" t="n">
        <v>450</v>
      </c>
    </row>
    <row r="8" customFormat="false" ht="15" hidden="false" customHeight="false" outlineLevel="0" collapsed="false">
      <c r="A8" s="4" t="s">
        <v>130</v>
      </c>
      <c r="B8" s="14" t="n">
        <v>0.15</v>
      </c>
      <c r="C8" s="14" t="n">
        <v>0.25</v>
      </c>
      <c r="D8" s="14" t="n">
        <v>0.35</v>
      </c>
    </row>
    <row r="9" customFormat="false" ht="15" hidden="false" customHeight="false" outlineLevel="0" collapsed="false">
      <c r="A9" s="4" t="s">
        <v>494</v>
      </c>
      <c r="B9" s="14" t="n">
        <v>0.04</v>
      </c>
      <c r="C9" s="14" t="n">
        <v>0.06</v>
      </c>
      <c r="D9" s="14" t="n">
        <v>0.08</v>
      </c>
    </row>
    <row r="10" customFormat="false" ht="15" hidden="false" customHeight="false" outlineLevel="0" collapsed="false">
      <c r="A10" s="4" t="s">
        <v>495</v>
      </c>
      <c r="B10" s="20" t="n">
        <v>0.75</v>
      </c>
      <c r="C10" s="20" t="n">
        <v>1</v>
      </c>
      <c r="D10" s="20" t="n">
        <v>1.25</v>
      </c>
    </row>
    <row r="11" customFormat="false" ht="15" hidden="false" customHeight="false" outlineLevel="0" collapsed="false">
      <c r="A11" s="4" t="s">
        <v>496</v>
      </c>
      <c r="B11" s="14" t="n">
        <v>0.15</v>
      </c>
      <c r="C11" s="14" t="n">
        <v>0.25</v>
      </c>
      <c r="D11" s="14" t="n">
        <v>0.35</v>
      </c>
    </row>
    <row r="12" customFormat="false" ht="15" hidden="false" customHeight="false" outlineLevel="0" collapsed="false">
      <c r="A12" s="4" t="s">
        <v>497</v>
      </c>
      <c r="B12" s="18" t="n">
        <v>60000</v>
      </c>
      <c r="C12" s="18" t="n">
        <v>70000</v>
      </c>
      <c r="D12" s="18" t="n">
        <v>80000</v>
      </c>
    </row>
    <row r="13" customFormat="false" ht="15" hidden="false" customHeight="false" outlineLevel="0" collapsed="false">
      <c r="A13" s="4" t="s">
        <v>485</v>
      </c>
      <c r="B13" s="14" t="n">
        <v>0.01</v>
      </c>
      <c r="C13" s="14" t="n">
        <v>0.03</v>
      </c>
      <c r="D13" s="14" t="n">
        <v>0.05</v>
      </c>
    </row>
    <row r="14" customFormat="false" ht="15" hidden="false" customHeight="false" outlineLevel="0" collapsed="false">
      <c r="A14" s="4" t="s">
        <v>123</v>
      </c>
      <c r="B14" s="20" t="n">
        <v>0.4</v>
      </c>
      <c r="C14" s="20" t="n">
        <v>1</v>
      </c>
      <c r="D14" s="20" t="n">
        <v>1.6</v>
      </c>
    </row>
    <row r="15" customFormat="false" ht="15" hidden="false" customHeight="false" outlineLevel="0" collapsed="false">
      <c r="A15" s="4" t="s">
        <v>498</v>
      </c>
      <c r="B15" s="18" t="n">
        <v>500</v>
      </c>
      <c r="C15" s="18" t="n">
        <v>1500</v>
      </c>
      <c r="D15" s="18" t="n">
        <v>2500</v>
      </c>
    </row>
    <row r="17" customFormat="false" ht="15" hidden="false" customHeight="false" outlineLevel="0" collapsed="false">
      <c r="A17" s="6" t="s">
        <v>499</v>
      </c>
    </row>
    <row r="18" customFormat="false" ht="15" hidden="false" customHeight="false" outlineLevel="0" collapsed="false">
      <c r="A18" s="11" t="s">
        <v>349</v>
      </c>
      <c r="B18" s="11" t="s">
        <v>394</v>
      </c>
    </row>
    <row r="19" customFormat="false" ht="15" hidden="false" customHeight="false" outlineLevel="0" collapsed="false">
      <c r="A19" s="5" t="s">
        <v>500</v>
      </c>
      <c r="B19" s="41" t="n">
        <v>5000</v>
      </c>
    </row>
    <row r="20" customFormat="false" ht="15" hidden="false" customHeight="false" outlineLevel="0" collapsed="false">
      <c r="A20" s="5" t="s">
        <v>501</v>
      </c>
      <c r="B20" s="45" t="n">
        <v>0.127</v>
      </c>
    </row>
    <row r="21" customFormat="false" ht="15" hidden="false" customHeight="false" outlineLevel="0" collapsed="false">
      <c r="A21" s="5" t="s">
        <v>502</v>
      </c>
      <c r="B21" s="45" t="n">
        <v>0.708</v>
      </c>
    </row>
    <row r="22" customFormat="false" ht="15" hidden="false" customHeight="false" outlineLevel="0" collapsed="false">
      <c r="A22" s="5" t="s">
        <v>503</v>
      </c>
      <c r="B22" s="41" t="n">
        <v>-39827636</v>
      </c>
    </row>
    <row r="23" customFormat="false" ht="15" hidden="false" customHeight="false" outlineLevel="0" collapsed="false">
      <c r="A23" s="5" t="s">
        <v>504</v>
      </c>
      <c r="B23" s="41" t="n">
        <v>22762478</v>
      </c>
    </row>
    <row r="24" customFormat="false" ht="15" hidden="false" customHeight="false" outlineLevel="0" collapsed="false">
      <c r="A24" s="5" t="s">
        <v>505</v>
      </c>
      <c r="B24" s="41" t="n">
        <v>94371491</v>
      </c>
    </row>
    <row r="25" customFormat="false" ht="15" hidden="false" customHeight="false" outlineLevel="0" collapsed="false">
      <c r="A25" s="5" t="s">
        <v>506</v>
      </c>
      <c r="B25" s="41" t="n">
        <v>33506084</v>
      </c>
    </row>
    <row r="26" customFormat="false" ht="15" hidden="false" customHeight="false" outlineLevel="0" collapsed="false">
      <c r="A26" s="5" t="s">
        <v>507</v>
      </c>
      <c r="B26" s="41" t="n">
        <v>63297524</v>
      </c>
    </row>
    <row r="27" customFormat="false" ht="15" hidden="false" customHeight="false" outlineLevel="0" collapsed="false">
      <c r="A27" s="5" t="s">
        <v>508</v>
      </c>
      <c r="B27" s="45" t="n">
        <v>0.843</v>
      </c>
    </row>
    <row r="28" customFormat="false" ht="25.35" hidden="false" customHeight="false" outlineLevel="0" collapsed="false">
      <c r="A28" s="5" t="s">
        <v>509</v>
      </c>
      <c r="B28" s="41" t="n">
        <v>41</v>
      </c>
    </row>
  </sheetData>
  <mergeCells count="1">
    <mergeCell ref="A2:D2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&amp;C&amp;"Times New Roman"Лист &amp;P из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4"/>
    <col collapsed="false" customWidth="true" hidden="false" outlineLevel="0" max="3" min="3" style="0" width="6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0" t="s">
        <v>510</v>
      </c>
    </row>
    <row r="3" customFormat="false" ht="15" hidden="false" customHeight="false" outlineLevel="0" collapsed="false">
      <c r="A3" s="11" t="s">
        <v>511</v>
      </c>
      <c r="B3" s="11" t="s">
        <v>512</v>
      </c>
      <c r="C3" s="11" t="s">
        <v>513</v>
      </c>
      <c r="D3" s="11" t="s">
        <v>514</v>
      </c>
    </row>
    <row r="4" customFormat="false" ht="25.35" hidden="false" customHeight="false" outlineLevel="0" collapsed="false">
      <c r="A4" s="5" t="s">
        <v>515</v>
      </c>
      <c r="B4" s="5" t="s">
        <v>516</v>
      </c>
      <c r="C4" s="5" t="s">
        <v>517</v>
      </c>
      <c r="D4" s="50" t="s">
        <v>518</v>
      </c>
    </row>
    <row r="5" customFormat="false" ht="25.35" hidden="false" customHeight="false" outlineLevel="0" collapsed="false">
      <c r="A5" s="5" t="s">
        <v>519</v>
      </c>
      <c r="B5" s="5" t="s">
        <v>520</v>
      </c>
      <c r="C5" s="5" t="s">
        <v>521</v>
      </c>
      <c r="D5" s="50" t="s">
        <v>518</v>
      </c>
    </row>
    <row r="6" customFormat="false" ht="25.35" hidden="false" customHeight="false" outlineLevel="0" collapsed="false">
      <c r="A6" s="5" t="s">
        <v>522</v>
      </c>
      <c r="B6" s="5" t="s">
        <v>523</v>
      </c>
      <c r="C6" s="5" t="s">
        <v>524</v>
      </c>
      <c r="D6" s="50" t="s">
        <v>518</v>
      </c>
    </row>
    <row r="7" customFormat="false" ht="25.35" hidden="false" customHeight="false" outlineLevel="0" collapsed="false">
      <c r="A7" s="5" t="s">
        <v>525</v>
      </c>
      <c r="B7" s="5" t="s">
        <v>526</v>
      </c>
      <c r="C7" s="5" t="s">
        <v>527</v>
      </c>
      <c r="D7" s="50" t="s">
        <v>518</v>
      </c>
    </row>
    <row r="8" customFormat="false" ht="25.35" hidden="false" customHeight="false" outlineLevel="0" collapsed="false">
      <c r="A8" s="5" t="s">
        <v>528</v>
      </c>
      <c r="B8" s="5" t="s">
        <v>529</v>
      </c>
      <c r="C8" s="5" t="s">
        <v>530</v>
      </c>
      <c r="D8" s="50" t="s">
        <v>518</v>
      </c>
    </row>
    <row r="9" customFormat="false" ht="15" hidden="false" customHeight="false" outlineLevel="0" collapsed="false">
      <c r="A9" s="5" t="s">
        <v>531</v>
      </c>
      <c r="B9" s="5" t="s">
        <v>532</v>
      </c>
      <c r="C9" s="5" t="s">
        <v>533</v>
      </c>
      <c r="D9" s="50" t="s">
        <v>534</v>
      </c>
    </row>
    <row r="10" customFormat="false" ht="15" hidden="false" customHeight="false" outlineLevel="0" collapsed="false">
      <c r="A10" s="5" t="s">
        <v>535</v>
      </c>
      <c r="B10" s="5" t="s">
        <v>536</v>
      </c>
      <c r="C10" s="5" t="s">
        <v>537</v>
      </c>
      <c r="D10" s="50" t="s">
        <v>534</v>
      </c>
    </row>
    <row r="11" customFormat="false" ht="25.35" hidden="false" customHeight="false" outlineLevel="0" collapsed="false">
      <c r="A11" s="5" t="s">
        <v>538</v>
      </c>
      <c r="B11" s="5" t="s">
        <v>539</v>
      </c>
      <c r="C11" s="5" t="s">
        <v>540</v>
      </c>
      <c r="D11" s="50" t="s">
        <v>518</v>
      </c>
    </row>
    <row r="12" customFormat="false" ht="15" hidden="false" customHeight="false" outlineLevel="0" collapsed="false">
      <c r="A12" s="5" t="s">
        <v>541</v>
      </c>
      <c r="B12" s="5" t="s">
        <v>542</v>
      </c>
      <c r="C12" s="5" t="s">
        <v>543</v>
      </c>
      <c r="D12" s="50" t="s">
        <v>534</v>
      </c>
    </row>
    <row r="13" customFormat="false" ht="15" hidden="false" customHeight="false" outlineLevel="0" collapsed="false">
      <c r="A13" s="5" t="s">
        <v>544</v>
      </c>
      <c r="B13" s="5" t="s">
        <v>545</v>
      </c>
      <c r="C13" s="5" t="s">
        <v>546</v>
      </c>
      <c r="D13" s="50" t="s">
        <v>518</v>
      </c>
    </row>
    <row r="14" customFormat="false" ht="15" hidden="false" customHeight="false" outlineLevel="0" collapsed="false">
      <c r="A14" s="5" t="s">
        <v>547</v>
      </c>
      <c r="B14" s="5" t="s">
        <v>548</v>
      </c>
      <c r="C14" s="5" t="s">
        <v>549</v>
      </c>
      <c r="D14" s="50" t="s">
        <v>534</v>
      </c>
    </row>
    <row r="15" customFormat="false" ht="25.35" hidden="false" customHeight="false" outlineLevel="0" collapsed="false">
      <c r="A15" s="5" t="s">
        <v>550</v>
      </c>
      <c r="B15" s="5" t="s">
        <v>551</v>
      </c>
      <c r="C15" s="5" t="s">
        <v>552</v>
      </c>
      <c r="D15" s="50" t="s">
        <v>534</v>
      </c>
    </row>
    <row r="16" customFormat="false" ht="25.35" hidden="false" customHeight="false" outlineLevel="0" collapsed="false">
      <c r="A16" s="5" t="s">
        <v>553</v>
      </c>
      <c r="B16" s="5" t="s">
        <v>554</v>
      </c>
      <c r="C16" s="5" t="s">
        <v>555</v>
      </c>
      <c r="D16" s="50" t="s">
        <v>534</v>
      </c>
    </row>
    <row r="17" customFormat="false" ht="25.35" hidden="false" customHeight="false" outlineLevel="0" collapsed="false">
      <c r="A17" s="5" t="s">
        <v>556</v>
      </c>
      <c r="B17" s="5" t="s">
        <v>557</v>
      </c>
      <c r="C17" s="5" t="s">
        <v>558</v>
      </c>
      <c r="D17" s="50" t="s">
        <v>534</v>
      </c>
    </row>
    <row r="18" customFormat="false" ht="25.35" hidden="false" customHeight="false" outlineLevel="0" collapsed="false">
      <c r="A18" s="5" t="s">
        <v>559</v>
      </c>
      <c r="B18" s="5" t="s">
        <v>560</v>
      </c>
      <c r="C18" s="5" t="s">
        <v>561</v>
      </c>
      <c r="D18" s="50" t="s">
        <v>534</v>
      </c>
    </row>
    <row r="19" customFormat="false" ht="15" hidden="false" customHeight="false" outlineLevel="0" collapsed="false">
      <c r="A19" s="5" t="s">
        <v>562</v>
      </c>
      <c r="B19" s="5" t="s">
        <v>563</v>
      </c>
      <c r="C19" s="5" t="s">
        <v>564</v>
      </c>
      <c r="D19" s="50" t="s">
        <v>534</v>
      </c>
    </row>
  </sheetData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&amp;C&amp;"Times New Roman"Лист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2026-10-22T16:55:33Z</dcterms:created>
  <dc:creator>openpyxl</dc:creator>
  <dc:description/>
  <dc:language>en-US</dc:language>
  <cp:lastModifiedBy/>
  <dcterms:modified xsi:type="dcterms:W3CDTF">2026-10-22T16:55:34Z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